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ternnships\DecodeLabs\"/>
    </mc:Choice>
  </mc:AlternateContent>
  <bookViews>
    <workbookView xWindow="0" yWindow="0" windowWidth="19200" windowHeight="705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Q2" i="1" l="1"/>
  <c r="P2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2" i="1"/>
  <c r="P13" i="1"/>
  <c r="P14" i="1"/>
  <c r="P15" i="1"/>
  <c r="P16" i="1"/>
  <c r="P17" i="1"/>
  <c r="P18" i="1"/>
  <c r="P19" i="1"/>
  <c r="P20" i="1"/>
  <c r="P21" i="1"/>
  <c r="P22" i="1"/>
  <c r="P23" i="1"/>
  <c r="P3" i="1"/>
  <c r="P4" i="1"/>
  <c r="P5" i="1"/>
  <c r="P6" i="1"/>
  <c r="P7" i="1"/>
  <c r="P8" i="1"/>
  <c r="P9" i="1"/>
  <c r="P10" i="1"/>
  <c r="P11" i="1"/>
  <c r="D3" i="1"/>
  <c r="D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</calcChain>
</file>

<file path=xl/sharedStrings.xml><?xml version="1.0" encoding="utf-8"?>
<sst xmlns="http://schemas.openxmlformats.org/spreadsheetml/2006/main" count="10550" uniqueCount="4287">
  <si>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</si>
  <si>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</si>
  <si>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</si>
  <si>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</si>
  <si>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</si>
  <si>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</si>
  <si>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</si>
  <si>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</si>
  <si>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</si>
  <si>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</si>
  <si>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</si>
  <si>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</si>
  <si>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</si>
  <si>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</si>
  <si>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</si>
  <si>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</si>
  <si>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</si>
  <si>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</si>
  <si>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</si>
  <si>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</si>
  <si>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</si>
  <si>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</si>
  <si>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</si>
  <si>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</si>
  <si>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</si>
  <si>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</si>
  <si>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</si>
  <si>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</si>
  <si>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</si>
  <si>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</si>
  <si>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</si>
  <si>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</si>
  <si>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</si>
  <si>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</si>
  <si>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</si>
  <si>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</si>
  <si>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</si>
  <si>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</si>
  <si>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</si>
  <si>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</si>
  <si>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</si>
  <si>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</si>
  <si>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</si>
  <si>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</si>
  <si>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</si>
  <si>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</si>
  <si>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</si>
  <si>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</si>
  <si>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</si>
  <si>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</si>
  <si>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</si>
  <si>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</si>
  <si>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</si>
  <si>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</si>
  <si>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</si>
  <si>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</si>
  <si>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</si>
  <si>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</si>
  <si>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</si>
  <si>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</si>
  <si>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</si>
  <si>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</si>
  <si>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</si>
  <si>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</si>
  <si>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</si>
  <si>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</si>
  <si>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</si>
  <si>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</si>
  <si>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</si>
  <si>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</si>
  <si>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</si>
  <si>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</si>
  <si>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</si>
  <si>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</si>
  <si>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</si>
  <si>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</si>
  <si>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</si>
  <si>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</si>
  <si>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</si>
  <si>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</si>
  <si>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</si>
  <si>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</si>
  <si>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</si>
  <si>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</si>
  <si>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</si>
  <si>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</si>
  <si>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</si>
  <si>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</si>
  <si>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</si>
  <si>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</si>
  <si>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</si>
  <si>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</si>
  <si>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</si>
  <si>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</si>
  <si>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</si>
  <si>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</si>
  <si>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</si>
  <si>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</si>
  <si>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</si>
  <si>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</si>
  <si>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</si>
  <si>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</si>
  <si>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</si>
  <si>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</si>
  <si>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</si>
  <si>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</si>
  <si>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</si>
  <si>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</si>
  <si>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</si>
  <si>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</si>
  <si>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</si>
  <si>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</si>
  <si>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</si>
  <si>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</si>
  <si>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</si>
  <si>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</si>
  <si>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</si>
  <si>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</si>
  <si>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</si>
  <si>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</si>
  <si>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</si>
  <si>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</si>
  <si>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</si>
  <si>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</si>
  <si>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</si>
  <si>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</si>
  <si>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</si>
  <si>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</si>
  <si>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</si>
  <si>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</si>
  <si>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</si>
  <si>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</si>
  <si>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</si>
  <si>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</si>
  <si>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</si>
  <si>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</si>
  <si>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</si>
  <si>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</si>
  <si>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</si>
  <si>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</si>
  <si>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</si>
  <si>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</si>
  <si>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</si>
  <si>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</si>
  <si>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</si>
  <si>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</si>
  <si>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</si>
  <si>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</si>
  <si>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</si>
  <si>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</si>
  <si>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</si>
  <si>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</si>
  <si>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</si>
  <si>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</si>
  <si>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</si>
  <si>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</si>
  <si>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</si>
  <si>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</si>
  <si>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</si>
  <si>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</si>
  <si>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</si>
  <si>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</si>
  <si>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</si>
  <si>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</si>
  <si>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</si>
  <si>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</si>
  <si>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</si>
  <si>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</si>
  <si>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</si>
  <si>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</si>
  <si>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</si>
  <si>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</si>
  <si>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</si>
  <si>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</si>
  <si>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</si>
  <si>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</si>
  <si>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</si>
  <si>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</si>
  <si>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</si>
  <si>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</si>
  <si>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</si>
  <si>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</si>
  <si>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</si>
  <si>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</si>
  <si>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</si>
  <si>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</si>
  <si>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</si>
  <si>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</si>
  <si>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</si>
  <si>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</si>
  <si>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</si>
  <si>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</si>
  <si>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</si>
  <si>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</si>
  <si>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</si>
  <si>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</si>
  <si>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</si>
  <si>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</si>
  <si>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</si>
  <si>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</si>
  <si>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</si>
  <si>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</si>
  <si>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</si>
  <si>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</si>
  <si>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</si>
  <si>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</si>
  <si>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</si>
  <si>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</si>
  <si>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</si>
  <si>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</si>
  <si>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</si>
  <si>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</si>
  <si>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</si>
  <si>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</si>
  <si>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</si>
  <si>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</si>
  <si>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</si>
  <si>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</si>
  <si>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</si>
  <si>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</si>
  <si>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</si>
  <si>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</si>
  <si>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</si>
  <si>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</si>
  <si>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</si>
  <si>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</si>
  <si>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</si>
  <si>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</si>
  <si>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</si>
  <si>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</si>
  <si>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</si>
  <si>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</si>
  <si>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</si>
  <si>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</si>
  <si>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</si>
  <si>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</si>
  <si>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</si>
  <si>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</si>
  <si>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</si>
  <si>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</si>
  <si>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</si>
  <si>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</si>
  <si>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</si>
  <si>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</si>
  <si>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</si>
  <si>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</si>
  <si>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</si>
  <si>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</si>
  <si>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</si>
  <si>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</si>
  <si>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</si>
  <si>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</si>
  <si>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</si>
  <si>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</si>
  <si>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</si>
  <si>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</si>
  <si>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</si>
  <si>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</si>
  <si>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</si>
  <si>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</si>
  <si>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</si>
  <si>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</si>
  <si>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</si>
  <si>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</si>
  <si>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</si>
  <si>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</si>
  <si>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</si>
  <si>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</si>
  <si>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</si>
  <si>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</si>
  <si>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</si>
  <si>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</si>
  <si>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</si>
  <si>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</si>
  <si>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</si>
  <si>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</si>
  <si>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</si>
  <si>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</si>
  <si>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</si>
  <si>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</si>
  <si>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</si>
  <si>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</si>
  <si>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</si>
  <si>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</si>
  <si>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</si>
  <si>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</si>
  <si>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</si>
  <si>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</si>
  <si>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</si>
  <si>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</si>
  <si>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</si>
  <si>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</si>
  <si>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</si>
  <si>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</si>
  <si>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</si>
  <si>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</si>
  <si>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</si>
  <si>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</si>
  <si>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</si>
  <si>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</si>
  <si>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</si>
  <si>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</si>
  <si>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</si>
  <si>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</si>
  <si>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</si>
  <si>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</si>
  <si>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</si>
  <si>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</si>
  <si>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</si>
  <si>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</si>
  <si>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</si>
  <si>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</si>
  <si>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</si>
  <si>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</si>
  <si>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</si>
  <si>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</si>
  <si>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</si>
  <si>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</si>
  <si>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</si>
  <si>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</si>
  <si>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</si>
  <si>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</si>
  <si>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</si>
  <si>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</si>
  <si>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</si>
  <si>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</si>
  <si>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</si>
  <si>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</si>
  <si>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</si>
  <si>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</si>
  <si>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</si>
  <si>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</si>
  <si>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</si>
  <si>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</si>
  <si>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</si>
  <si>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</si>
  <si>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</si>
  <si>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</si>
  <si>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</si>
  <si>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</si>
  <si>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</si>
  <si>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</si>
  <si>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</si>
  <si>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</si>
  <si>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</si>
  <si>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</si>
  <si>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</si>
  <si>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</si>
  <si>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</si>
  <si>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</si>
  <si>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</si>
  <si>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</si>
  <si>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</si>
  <si>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</si>
  <si>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</si>
  <si>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</si>
  <si>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</si>
  <si>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</si>
  <si>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</si>
  <si>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</si>
  <si>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</si>
  <si>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</si>
  <si>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</si>
  <si>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</si>
  <si>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</si>
  <si>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</si>
  <si>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</si>
  <si>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</si>
  <si>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</si>
  <si>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</si>
  <si>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</si>
  <si>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</si>
  <si>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</si>
  <si>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</si>
  <si>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</si>
  <si>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</si>
  <si>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</si>
  <si>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</si>
  <si>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</si>
  <si>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</si>
  <si>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</si>
  <si>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</si>
  <si>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</si>
  <si>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</si>
  <si>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</si>
  <si>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</si>
  <si>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</si>
  <si>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</si>
  <si>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</si>
  <si>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</si>
  <si>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</si>
  <si>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</si>
  <si>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</si>
  <si>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</si>
  <si>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</si>
  <si>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</si>
  <si>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</si>
  <si>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</si>
  <si>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</si>
  <si>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</si>
  <si>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</si>
  <si>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</si>
  <si>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</si>
  <si>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</si>
  <si>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</si>
  <si>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</si>
  <si>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</si>
  <si>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</si>
  <si>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</si>
  <si>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</si>
  <si>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</si>
  <si>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</si>
  <si>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</si>
  <si>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</si>
  <si>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</si>
  <si>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</si>
  <si>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</si>
  <si>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</si>
  <si>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</si>
  <si>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</si>
  <si>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</si>
  <si>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</si>
  <si>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</si>
  <si>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</si>
  <si>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</si>
  <si>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</si>
  <si>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</si>
  <si>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</si>
  <si>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</si>
  <si>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</si>
  <si>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</si>
  <si>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</si>
  <si>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</si>
  <si>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</si>
  <si>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</si>
  <si>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</si>
  <si>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</si>
  <si>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</si>
  <si>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</si>
  <si>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</si>
  <si>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</si>
  <si>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</si>
  <si>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</si>
  <si>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</si>
  <si>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</si>
  <si>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</si>
  <si>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</si>
  <si>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</si>
  <si>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</si>
  <si>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</si>
  <si>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</si>
  <si>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</si>
  <si>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</si>
  <si>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</si>
  <si>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</si>
  <si>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</si>
  <si>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</si>
  <si>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</si>
  <si>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</si>
  <si>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</si>
  <si>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</si>
  <si>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</si>
  <si>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</si>
  <si>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</si>
  <si>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</si>
  <si>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</si>
  <si>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</si>
  <si>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</si>
  <si>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</si>
  <si>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</si>
  <si>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</si>
  <si>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</si>
  <si>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</si>
  <si>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</si>
  <si>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</si>
  <si>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</si>
  <si>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</si>
  <si>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</si>
  <si>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</si>
  <si>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</si>
  <si>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</si>
  <si>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</si>
  <si>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</si>
  <si>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</si>
  <si>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</si>
  <si>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</si>
  <si>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</si>
  <si>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</si>
  <si>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</si>
  <si>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</si>
  <si>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</si>
  <si>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</si>
  <si>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</si>
  <si>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</si>
  <si>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</si>
  <si>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</si>
  <si>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</si>
  <si>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</si>
  <si>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</si>
  <si>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</si>
  <si>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</si>
  <si>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</si>
  <si>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</si>
  <si>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</si>
  <si>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</si>
  <si>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</si>
  <si>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</si>
  <si>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</si>
  <si>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</si>
  <si>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</si>
  <si>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</si>
  <si>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</si>
  <si>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</si>
  <si>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</si>
  <si>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</si>
  <si>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</si>
  <si>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</si>
  <si>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</si>
  <si>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</si>
  <si>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</si>
  <si>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</si>
  <si>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</si>
  <si>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</si>
  <si>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</si>
  <si>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</si>
  <si>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</si>
  <si>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</si>
  <si>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</si>
  <si>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</si>
  <si>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</si>
  <si>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</si>
  <si>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</si>
  <si>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</si>
  <si>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</si>
  <si>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</si>
  <si>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</si>
  <si>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</si>
  <si>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</si>
  <si>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</si>
  <si>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</si>
  <si>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</si>
  <si>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</si>
  <si>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</si>
  <si>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</si>
  <si>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</si>
  <si>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</si>
  <si>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</si>
  <si>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</si>
  <si>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</si>
  <si>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</si>
  <si>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</si>
  <si>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</si>
  <si>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</si>
  <si>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</si>
  <si>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</si>
  <si>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</si>
  <si>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</si>
  <si>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</si>
  <si>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</si>
  <si>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</si>
  <si>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</si>
  <si>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</si>
  <si>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</si>
  <si>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</si>
  <si>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</si>
  <si>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</si>
  <si>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</si>
  <si>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</si>
  <si>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</si>
  <si>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</si>
  <si>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</si>
  <si>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</si>
  <si>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</si>
  <si>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</si>
  <si>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</si>
  <si>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</si>
  <si>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</si>
  <si>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</si>
  <si>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</si>
  <si>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</si>
  <si>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</si>
  <si>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</si>
  <si>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</si>
  <si>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</si>
  <si>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</si>
  <si>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</si>
  <si>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</si>
  <si>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</si>
  <si>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</si>
  <si>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</si>
  <si>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</si>
  <si>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</si>
  <si>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</si>
  <si>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</si>
  <si>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</si>
  <si>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</si>
  <si>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</si>
  <si>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</si>
  <si>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</si>
  <si>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</si>
  <si>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</si>
  <si>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</si>
  <si>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</si>
  <si>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</si>
  <si>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</si>
  <si>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</si>
  <si>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</si>
  <si>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</si>
  <si>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</si>
  <si>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</si>
  <si>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</si>
  <si>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</si>
  <si>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</si>
  <si>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</si>
  <si>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</si>
  <si>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</si>
  <si>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</si>
  <si>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</si>
  <si>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</si>
  <si>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</si>
  <si>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</si>
  <si>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</si>
  <si>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</si>
  <si>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</si>
  <si>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</si>
  <si>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</si>
  <si>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</si>
  <si>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</si>
  <si>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</si>
  <si>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</si>
  <si>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</si>
  <si>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</si>
  <si>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</si>
  <si>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</si>
  <si>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</si>
  <si>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</si>
  <si>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</si>
  <si>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</si>
  <si>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</si>
  <si>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</si>
  <si>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</si>
  <si>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</si>
  <si>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</si>
  <si>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</si>
  <si>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</si>
  <si>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</si>
  <si>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</si>
  <si>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</si>
  <si>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</si>
  <si>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</si>
  <si>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</si>
  <si>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</si>
  <si>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</si>
  <si>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</si>
  <si>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</si>
  <si>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</si>
  <si>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</si>
  <si>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</si>
  <si>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</si>
  <si>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</si>
  <si>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</si>
  <si>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</si>
  <si>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</si>
  <si>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</si>
  <si>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</si>
  <si>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</si>
  <si>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</si>
  <si>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</si>
  <si>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</si>
  <si>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</si>
  <si>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</si>
  <si>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</si>
  <si>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</si>
  <si>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</si>
  <si>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</si>
  <si>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</si>
  <si>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</si>
  <si>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</si>
  <si>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</si>
  <si>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</si>
  <si>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</si>
  <si>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</si>
  <si>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</si>
  <si>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</si>
  <si>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</si>
  <si>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</si>
  <si>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</si>
  <si>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</si>
  <si>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</si>
  <si>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</si>
  <si>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</si>
  <si>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</si>
  <si>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</si>
  <si>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</si>
  <si>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</si>
  <si>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</si>
  <si>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</si>
  <si>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</si>
  <si>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</si>
  <si>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</si>
  <si>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</si>
  <si>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</si>
  <si>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</si>
  <si>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</si>
  <si>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</si>
  <si>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</si>
  <si>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</si>
  <si>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</si>
  <si>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</si>
  <si>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</si>
  <si>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</si>
  <si>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</si>
  <si>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</si>
  <si>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</si>
  <si>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</si>
  <si>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</si>
  <si>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</si>
  <si>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</si>
  <si>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</si>
  <si>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</si>
  <si>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</si>
  <si>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</si>
  <si>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</si>
  <si>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</si>
  <si>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</si>
  <si>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</si>
  <si>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</si>
  <si>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</si>
  <si>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</si>
  <si>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</si>
  <si>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</si>
  <si>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</si>
  <si>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</si>
  <si>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</si>
  <si>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</si>
  <si>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</si>
  <si>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</si>
  <si>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</si>
  <si>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</si>
  <si>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</si>
  <si>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</si>
  <si>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</si>
  <si>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</si>
  <si>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</si>
  <si>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</si>
  <si>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</si>
  <si>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</si>
  <si>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</si>
  <si>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</si>
  <si>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</si>
  <si>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</si>
  <si>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</si>
  <si>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</si>
  <si>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</si>
  <si>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</si>
  <si>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</si>
  <si>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</si>
  <si>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</si>
  <si>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</si>
  <si>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</si>
  <si>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</si>
  <si>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</si>
  <si>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</si>
  <si>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</si>
  <si>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</si>
  <si>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</si>
  <si>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</si>
  <si>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</si>
  <si>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</si>
  <si>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</si>
  <si>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</si>
  <si>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</si>
  <si>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</si>
  <si>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</si>
  <si>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</si>
  <si>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</si>
  <si>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</si>
  <si>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</si>
  <si>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</si>
  <si>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</si>
  <si>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</si>
  <si>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</si>
  <si>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</si>
  <si>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</si>
  <si>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</si>
  <si>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</si>
  <si>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</si>
  <si>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</si>
  <si>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</si>
  <si>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</si>
  <si>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</si>
  <si>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</si>
  <si>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</si>
  <si>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</si>
  <si>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</si>
  <si>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</si>
  <si>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</si>
  <si>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</si>
  <si>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</si>
  <si>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</si>
  <si>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</si>
  <si>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</si>
  <si>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</si>
  <si>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</si>
  <si>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</si>
  <si>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</si>
  <si>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</si>
  <si>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</si>
  <si>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</si>
  <si>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</si>
  <si>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</si>
  <si>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</si>
  <si>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</si>
  <si>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</si>
  <si>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</si>
  <si>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</si>
  <si>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</si>
  <si>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</si>
  <si>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</si>
  <si>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</si>
  <si>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</si>
  <si>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</si>
  <si>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</si>
  <si>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</si>
  <si>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</si>
  <si>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</si>
  <si>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</si>
  <si>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</si>
  <si>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</si>
  <si>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</si>
  <si>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</si>
  <si>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</si>
  <si>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</si>
  <si>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</si>
  <si>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</si>
  <si>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</si>
  <si>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</si>
  <si>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</si>
  <si>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</si>
  <si>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</si>
  <si>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</si>
  <si>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</si>
  <si>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</si>
  <si>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</si>
  <si>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</si>
  <si>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</si>
  <si>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</si>
  <si>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</si>
  <si>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</si>
  <si>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</si>
  <si>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</si>
  <si>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</si>
  <si>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</si>
  <si>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</si>
  <si>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</si>
  <si>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</si>
  <si>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</si>
  <si>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</si>
  <si>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</si>
  <si>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</si>
  <si>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</si>
  <si>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</si>
  <si>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</si>
  <si>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</si>
  <si>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</si>
  <si>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</si>
  <si>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</si>
  <si>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</si>
  <si>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</si>
  <si>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</si>
  <si>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</si>
  <si>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</si>
  <si>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</si>
  <si>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</si>
  <si>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</si>
  <si>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</si>
  <si>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</si>
  <si>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</si>
  <si>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</si>
  <si>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</si>
  <si>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</si>
  <si>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</si>
  <si>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</si>
  <si>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</si>
  <si>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</si>
  <si>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</si>
  <si>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</si>
  <si>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</si>
  <si>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</si>
  <si>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</si>
  <si>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</si>
  <si>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</si>
  <si>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</si>
  <si>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</si>
  <si>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</si>
  <si>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</si>
  <si>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</si>
  <si>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</si>
  <si>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</si>
  <si>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</si>
  <si>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</si>
  <si>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</si>
  <si>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</si>
  <si>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</si>
  <si>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</si>
  <si>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</si>
  <si>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</si>
  <si>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</si>
  <si>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</si>
  <si>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</si>
  <si>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</si>
  <si>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</si>
  <si>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</si>
  <si>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</si>
  <si>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</si>
  <si>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</si>
  <si>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</si>
  <si>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</si>
  <si>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</si>
  <si>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</si>
  <si>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</si>
  <si>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</si>
  <si>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</si>
  <si>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</si>
  <si>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</si>
  <si>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</si>
  <si>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</si>
  <si>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</si>
  <si>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</si>
  <si>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</si>
  <si>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</si>
  <si>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</si>
  <si>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</si>
  <si>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</si>
  <si>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</si>
  <si>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</si>
  <si>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</si>
  <si>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</si>
  <si>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</si>
  <si>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</si>
  <si>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</si>
  <si>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</si>
  <si>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</si>
  <si>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</si>
  <si>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</si>
  <si>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</si>
  <si>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</si>
  <si>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</si>
  <si>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</si>
  <si>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</si>
  <si>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</si>
  <si>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</si>
  <si>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</si>
  <si>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</si>
  <si>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</si>
  <si>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</si>
  <si>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</si>
  <si>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</si>
  <si>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</si>
  <si>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</si>
  <si>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</si>
  <si>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</si>
  <si>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</si>
  <si>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</si>
  <si>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</si>
  <si>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</si>
  <si>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</si>
  <si>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</si>
  <si>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</si>
  <si>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</si>
  <si>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</si>
  <si>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</si>
  <si>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</si>
  <si>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</si>
  <si>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</si>
  <si>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</si>
  <si>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</si>
  <si>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</si>
  <si>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</si>
  <si>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</si>
  <si>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</si>
  <si>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</si>
  <si>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</si>
  <si>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</si>
  <si>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</si>
  <si>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</si>
  <si>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</si>
  <si>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</si>
  <si>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</si>
  <si>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</si>
  <si>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</si>
  <si>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</si>
  <si>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</si>
  <si>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</si>
  <si>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</si>
  <si>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</si>
  <si>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</si>
  <si>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</si>
  <si>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</si>
  <si>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</si>
  <si>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</si>
  <si>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</si>
  <si>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</si>
  <si>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</si>
  <si>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</si>
  <si>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</si>
  <si>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</si>
  <si>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</si>
  <si>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</si>
  <si>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</si>
  <si>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</si>
  <si>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</si>
  <si>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</si>
  <si>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</si>
  <si>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</si>
  <si>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</si>
  <si>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</si>
  <si>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</si>
  <si>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</si>
  <si>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</si>
  <si>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</si>
  <si>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</si>
  <si>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</si>
  <si>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</si>
  <si>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</si>
  <si>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</si>
  <si>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</si>
  <si>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</si>
  <si>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</si>
  <si>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</si>
  <si>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</si>
  <si>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</si>
  <si>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</si>
  <si>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</si>
  <si>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</si>
  <si>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</si>
  <si>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</si>
  <si>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</si>
  <si>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</si>
  <si>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</si>
  <si>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</si>
  <si>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</si>
  <si>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</si>
  <si>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</si>
  <si>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</si>
  <si>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</si>
  <si>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</si>
  <si>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</si>
  <si>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</si>
  <si>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</si>
  <si>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</si>
  <si>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</si>
  <si>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</si>
  <si>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</si>
  <si>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</si>
  <si>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</si>
  <si>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</si>
  <si>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</si>
  <si>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</si>
  <si>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</si>
  <si>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</si>
  <si>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</si>
  <si>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</si>
  <si>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</si>
  <si>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</si>
  <si>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</si>
  <si>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</si>
  <si>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</si>
  <si>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</si>
  <si>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</si>
  <si>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</si>
  <si>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</si>
  <si>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</si>
  <si>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</si>
  <si>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</si>
  <si>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</si>
  <si>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</si>
  <si>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</si>
  <si>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</si>
  <si>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</si>
  <si>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</si>
  <si>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</si>
  <si>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</si>
  <si>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</si>
  <si>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</si>
  <si>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</si>
  <si>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</si>
  <si>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</si>
  <si>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</si>
  <si>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</si>
  <si>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</si>
  <si>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</si>
  <si>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</si>
  <si>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</si>
  <si>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</si>
  <si>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</si>
  <si>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</si>
  <si>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</si>
  <si>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</si>
  <si>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</si>
  <si>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</si>
  <si>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</si>
  <si>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</si>
  <si>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</si>
  <si>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</si>
  <si>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</si>
  <si>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</si>
  <si>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</si>
  <si>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</si>
  <si>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</si>
  <si>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</si>
  <si>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</si>
  <si>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</si>
  <si>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</si>
  <si>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</si>
  <si>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</si>
  <si>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</si>
  <si>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</si>
  <si>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</si>
  <si>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</si>
  <si>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</si>
  <si>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</si>
  <si>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</si>
  <si>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</si>
  <si>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</si>
  <si>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</si>
  <si>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</si>
  <si>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</si>
  <si>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</si>
  <si>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</si>
  <si>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</si>
  <si>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</si>
  <si>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</si>
  <si>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</si>
  <si>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</si>
  <si>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</si>
  <si>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</si>
  <si>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</si>
  <si>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</si>
  <si>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</si>
  <si>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</si>
  <si>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</si>
  <si>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</si>
  <si>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</si>
  <si>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</si>
  <si>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</si>
  <si>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</si>
  <si>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</si>
  <si>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</si>
  <si>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</si>
  <si>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</si>
  <si>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</si>
  <si>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</si>
  <si>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</si>
  <si>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</si>
  <si>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</si>
  <si>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</si>
  <si>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</si>
  <si>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</si>
  <si>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</si>
  <si>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</si>
  <si>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</si>
  <si>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</si>
  <si>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</si>
  <si>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</si>
  <si>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</si>
  <si>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</si>
  <si>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</si>
  <si>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</si>
  <si>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</si>
  <si>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</si>
  <si>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</si>
  <si>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</si>
  <si>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</si>
  <si>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</si>
  <si>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</si>
  <si>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</si>
  <si>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</si>
  <si>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</si>
  <si>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</si>
  <si>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</si>
  <si>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</si>
  <si>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</si>
  <si>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</si>
  <si>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</si>
  <si>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</si>
  <si>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</si>
  <si>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</si>
  <si>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</si>
  <si>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</si>
  <si>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</si>
  <si>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</si>
  <si>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</si>
  <si>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</si>
  <si>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</si>
  <si>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</si>
  <si>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</si>
  <si>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</si>
  <si>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</si>
  <si>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</si>
  <si>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</si>
  <si>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</si>
  <si>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</si>
  <si>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</si>
  <si>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</si>
  <si>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</si>
  <si>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</si>
  <si>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</si>
  <si>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</si>
  <si>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</si>
  <si>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</si>
  <si>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</si>
  <si>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</si>
  <si>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</si>
  <si>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</si>
  <si>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</si>
  <si>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</si>
  <si>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</si>
  <si>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</si>
  <si>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</si>
  <si>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</si>
  <si>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</si>
  <si>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</si>
  <si>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</si>
  <si>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</si>
  <si>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</si>
  <si>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</si>
  <si>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</si>
  <si>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</si>
  <si>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</si>
  <si>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</si>
  <si>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</si>
  <si>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</si>
  <si>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</si>
  <si>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</si>
  <si>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</si>
  <si>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</si>
  <si>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</si>
  <si>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</si>
  <si>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</si>
  <si>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</si>
  <si>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</si>
  <si>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</si>
  <si>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</si>
  <si>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</si>
  <si>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</si>
  <si>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</si>
  <si>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</si>
  <si>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</si>
  <si>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</si>
  <si>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</si>
  <si>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</si>
  <si>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</si>
  <si>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</si>
  <si>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</si>
  <si>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</si>
  <si>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</si>
  <si>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</si>
  <si>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</si>
  <si>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</si>
  <si>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</si>
  <si>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</si>
  <si>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</si>
  <si>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</si>
  <si>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</si>
  <si>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</si>
  <si>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</si>
  <si>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</si>
  <si>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</si>
  <si>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</si>
  <si>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</si>
  <si>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</si>
  <si>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</si>
  <si>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</si>
  <si>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</si>
  <si>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</si>
  <si>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</si>
  <si>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</si>
  <si>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</si>
  <si>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</si>
  <si>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</si>
  <si>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</si>
  <si>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</si>
  <si>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</si>
  <si>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</si>
  <si>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</si>
  <si>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</si>
  <si>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</si>
  <si>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</si>
  <si>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</si>
  <si>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</si>
  <si>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</si>
  <si>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</si>
  <si>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</si>
  <si>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</si>
  <si>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</si>
  <si>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</si>
  <si>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</si>
  <si>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</si>
  <si>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</si>
  <si>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</si>
  <si>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</si>
  <si>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</si>
  <si>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</si>
  <si>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</si>
  <si>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</si>
  <si>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</si>
  <si>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</si>
  <si>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</si>
  <si>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</si>
  <si>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</si>
  <si>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</si>
  <si>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</si>
  <si>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</si>
  <si>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</si>
  <si>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</si>
  <si>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</si>
  <si>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</si>
  <si>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</si>
  <si>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</si>
  <si>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</si>
  <si>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</si>
  <si>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</si>
  <si>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</si>
  <si>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</si>
  <si>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</si>
  <si>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</si>
  <si>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</si>
  <si>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</si>
  <si>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</si>
  <si>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</si>
  <si>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</si>
  <si>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</si>
  <si>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</si>
  <si>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</si>
  <si>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</si>
  <si>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</si>
  <si>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</si>
  <si>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</si>
  <si>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</si>
  <si>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</si>
  <si>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</si>
  <si>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</si>
  <si>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</si>
  <si>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</si>
  <si>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</si>
  <si>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</si>
  <si>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</si>
  <si>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</si>
  <si>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</si>
  <si>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</si>
  <si>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</si>
  <si>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</si>
  <si>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</si>
  <si>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</si>
  <si>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</si>
  <si>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</si>
  <si>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</si>
  <si>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</si>
  <si>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</si>
  <si>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</si>
  <si>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</si>
  <si>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</si>
  <si>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</si>
  <si>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</si>
  <si>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</si>
  <si>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</si>
  <si>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</si>
  <si>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</si>
  <si>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</si>
  <si>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</si>
  <si>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</si>
  <si>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</si>
  <si>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</si>
  <si>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</si>
  <si>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</si>
  <si>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</si>
  <si>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</si>
  <si>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</si>
  <si>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</si>
  <si>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</si>
  <si>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</si>
  <si>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</si>
  <si>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</si>
  <si>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</si>
  <si>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</si>
  <si>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</si>
  <si>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</si>
  <si>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</si>
  <si>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</si>
  <si>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</si>
  <si>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</si>
  <si>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</si>
  <si>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</si>
  <si>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</si>
  <si>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</si>
  <si>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</si>
  <si>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</si>
  <si>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</si>
  <si>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</si>
  <si>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</si>
  <si>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</si>
  <si>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</si>
  <si>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</si>
  <si>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</si>
  <si>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</si>
  <si>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</si>
  <si>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</si>
  <si>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</si>
  <si>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</si>
  <si>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</si>
  <si>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</si>
  <si>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</si>
  <si>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</si>
  <si>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</si>
  <si>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</si>
  <si>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</si>
  <si>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</si>
  <si>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</si>
  <si>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</si>
  <si>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</si>
  <si>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</si>
  <si>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</si>
  <si>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</si>
  <si>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</si>
  <si>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</si>
  <si>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</si>
  <si>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</si>
  <si>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</si>
  <si>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</si>
  <si>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</si>
  <si>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</si>
  <si>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</si>
  <si>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</si>
  <si>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</si>
  <si>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</si>
  <si>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</si>
  <si>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</si>
  <si>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</si>
  <si>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</si>
  <si>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</si>
  <si>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</si>
  <si>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</si>
  <si>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</si>
  <si>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</si>
  <si>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</si>
  <si>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</si>
  <si>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</si>
  <si>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</si>
  <si>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</si>
  <si>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</si>
  <si>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</si>
  <si>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</si>
  <si>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</si>
  <si>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</si>
  <si>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</si>
  <si>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</si>
  <si>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</si>
  <si>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</si>
  <si>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</si>
  <si>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</si>
  <si>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</si>
  <si>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</si>
  <si>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</si>
  <si>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</si>
  <si>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</si>
  <si>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</si>
  <si>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</si>
  <si>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</si>
  <si>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</si>
  <si>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</si>
  <si>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</si>
  <si>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</si>
  <si>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</si>
  <si>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</si>
  <si>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</si>
  <si>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</si>
  <si>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</si>
  <si>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</si>
  <si>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</si>
  <si>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</si>
  <si>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</si>
  <si>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</si>
  <si>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</si>
  <si>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</si>
  <si>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</si>
  <si>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</si>
  <si>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</si>
  <si>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</si>
  <si>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</si>
  <si>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</si>
  <si>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</si>
  <si>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</si>
  <si>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</si>
  <si>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</si>
  <si>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</si>
  <si>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</si>
  <si>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</si>
  <si>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</si>
  <si>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</si>
  <si>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</si>
  <si>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</si>
  <si>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</si>
  <si>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</si>
  <si>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</si>
  <si>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</si>
  <si>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</si>
  <si>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</si>
  <si>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</si>
  <si>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</si>
  <si>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</si>
  <si>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</si>
  <si>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</si>
  <si>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</si>
  <si>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</si>
  <si>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</si>
  <si>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</si>
  <si>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</si>
  <si>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</si>
  <si>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</si>
  <si>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</si>
  <si>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</si>
  <si>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</si>
  <si>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</si>
  <si>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</si>
  <si>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</si>
  <si>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</si>
  <si>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</si>
  <si>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</si>
  <si>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</si>
  <si>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</si>
  <si>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</si>
  <si>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</si>
  <si>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</si>
  <si>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</si>
  <si>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</si>
  <si>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</si>
  <si>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</si>
  <si>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</si>
  <si>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</si>
  <si>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</si>
  <si>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</si>
  <si>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</si>
  <si>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</si>
  <si>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</si>
  <si>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</si>
  <si>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</si>
  <si>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</si>
  <si>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</si>
  <si>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</si>
  <si>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</si>
  <si>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</si>
  <si>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</si>
  <si>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</si>
  <si>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</si>
  <si>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</si>
  <si>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</si>
  <si>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</si>
  <si>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</si>
  <si>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</si>
  <si>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</si>
  <si>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</si>
  <si>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</si>
  <si>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</si>
  <si>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</si>
  <si>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</si>
  <si>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</si>
  <si>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</si>
  <si>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</si>
  <si>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</si>
  <si>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</si>
  <si>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</si>
  <si>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</si>
  <si>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</si>
  <si>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</si>
  <si>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</si>
  <si>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</si>
  <si>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</si>
  <si>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</si>
  <si>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</si>
  <si>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</si>
  <si>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</si>
  <si>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</si>
  <si>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</si>
  <si>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</si>
  <si>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</si>
  <si>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</si>
  <si>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</si>
  <si>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</si>
  <si>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</si>
  <si>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</si>
  <si>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</si>
  <si>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</si>
  <si>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</si>
  <si>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</si>
  <si>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</si>
  <si>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</si>
  <si>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</si>
  <si>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</si>
  <si>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</si>
  <si>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</si>
  <si>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</si>
  <si>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</si>
  <si>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</si>
  <si>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</si>
  <si>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</si>
  <si>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</si>
  <si>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</si>
  <si>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</si>
  <si>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</si>
  <si>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</si>
  <si>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</si>
  <si>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</si>
  <si>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</si>
  <si>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</si>
  <si>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</si>
  <si>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</si>
  <si>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</si>
  <si>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</si>
  <si>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</si>
  <si>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</si>
  <si>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</si>
  <si>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</si>
  <si>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</si>
  <si>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</si>
  <si>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</si>
  <si>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</si>
  <si>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</si>
  <si>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</si>
  <si>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</si>
  <si>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</si>
  <si>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</si>
  <si>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</si>
  <si>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</si>
  <si>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</si>
  <si>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</si>
  <si>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</si>
  <si>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</si>
  <si>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</si>
  <si>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</si>
  <si>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</si>
  <si>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</si>
  <si>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</si>
  <si>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</si>
  <si>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</si>
  <si>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</si>
  <si>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</si>
  <si>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</si>
  <si>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</si>
  <si>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</si>
  <si>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</si>
  <si>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</si>
  <si>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</si>
  <si>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</si>
  <si>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</si>
  <si>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</si>
  <si>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</si>
  <si>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</si>
  <si>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</si>
  <si>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</si>
  <si>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</si>
  <si>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</si>
  <si>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</si>
  <si>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</si>
  <si>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</si>
  <si>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</si>
  <si>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</si>
  <si>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</si>
  <si>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</si>
  <si>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</si>
  <si>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</si>
  <si>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</si>
  <si>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</si>
  <si>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</si>
  <si>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</si>
  <si>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</si>
  <si>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</si>
  <si>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</si>
  <si>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</si>
  <si>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</si>
  <si>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</si>
  <si>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</si>
  <si>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</si>
  <si>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</si>
  <si>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</si>
  <si>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</si>
  <si>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</si>
  <si>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</si>
  <si>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</si>
  <si>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</si>
  <si>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</si>
  <si>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</si>
  <si>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</si>
  <si>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</si>
  <si>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</si>
  <si>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</si>
  <si>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</si>
  <si>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</si>
  <si>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</si>
  <si>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</si>
  <si>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</si>
  <si>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</si>
  <si>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</si>
  <si>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</si>
  <si>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</si>
  <si>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</si>
  <si>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</si>
  <si>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</si>
  <si>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</si>
  <si>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</si>
  <si>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</si>
  <si>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</si>
  <si>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</si>
  <si>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</si>
  <si>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</si>
  <si>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</si>
  <si>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</si>
  <si>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</si>
  <si>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</si>
  <si>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</si>
  <si>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</si>
  <si>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</si>
  <si>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</si>
  <si>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</si>
  <si>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</si>
  <si>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</si>
  <si>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</si>
  <si>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</si>
  <si>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</si>
  <si>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</si>
  <si>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</si>
  <si>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</si>
  <si>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</si>
  <si>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</si>
  <si>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</si>
  <si>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</si>
  <si>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</si>
  <si>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</si>
  <si>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</si>
  <si>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</si>
  <si>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</si>
  <si>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</si>
  <si>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</si>
  <si>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</si>
  <si>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</si>
  <si>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</si>
  <si>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</si>
  <si>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</si>
  <si>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</si>
  <si>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</si>
  <si>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</si>
  <si>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</si>
  <si>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</si>
  <si>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</si>
  <si>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</si>
  <si>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</si>
  <si>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</si>
  <si>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</si>
  <si>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</si>
  <si>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</si>
  <si>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</si>
  <si>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</si>
  <si>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</si>
  <si>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</si>
  <si>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</si>
  <si>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</si>
  <si>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</si>
  <si>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</si>
  <si>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</si>
  <si>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</si>
  <si>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</si>
  <si>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</si>
  <si>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</si>
  <si>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</si>
  <si>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</si>
  <si>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</si>
  <si>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</si>
  <si>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</si>
  <si>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</si>
  <si>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</si>
  <si>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</si>
  <si>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</si>
  <si>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</si>
  <si>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</si>
  <si>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</si>
  <si>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</si>
  <si>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</si>
  <si>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</si>
  <si>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</si>
  <si>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</si>
  <si>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</si>
  <si>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</si>
  <si>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</si>
  <si>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</si>
  <si>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</si>
  <si>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</si>
  <si>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</si>
  <si>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</si>
  <si>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</si>
  <si>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</si>
  <si>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</si>
  <si>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</si>
  <si>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</si>
  <si>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</si>
  <si>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</si>
  <si>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</si>
  <si>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</si>
  <si>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</si>
  <si>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</si>
  <si>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</si>
  <si>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</si>
  <si>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</si>
  <si>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</si>
  <si>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</si>
  <si>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</si>
  <si>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</si>
  <si>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</si>
  <si>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</si>
  <si>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</si>
  <si>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</si>
  <si>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</si>
  <si>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</si>
  <si>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</si>
  <si>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</si>
  <si>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</si>
  <si>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</si>
  <si>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</si>
  <si>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</si>
  <si>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</si>
  <si>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</si>
  <si>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</si>
  <si>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</si>
  <si>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</si>
  <si>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</si>
  <si>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</si>
  <si>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</si>
  <si>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</si>
  <si>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</si>
  <si>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</si>
  <si>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</si>
  <si>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</si>
  <si>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</si>
  <si>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</si>
  <si>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</si>
  <si>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</si>
  <si>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</si>
  <si>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</si>
  <si>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</si>
  <si>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</si>
  <si>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</si>
  <si>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</si>
  <si>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</si>
  <si>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</si>
  <si>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</si>
  <si>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</si>
  <si>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</si>
  <si>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</si>
  <si>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</si>
  <si>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</si>
  <si>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</si>
  <si>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</si>
  <si>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</si>
  <si>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</si>
  <si>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</si>
  <si>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</si>
  <si>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</si>
  <si>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</si>
  <si>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</si>
  <si>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</si>
  <si>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</si>
  <si>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</si>
  <si>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</si>
  <si>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</si>
  <si>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</si>
  <si>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</si>
  <si>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</si>
  <si>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</si>
  <si>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</si>
  <si>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</si>
  <si>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</si>
  <si>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</si>
  <si>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</si>
  <si>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</si>
  <si>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</si>
  <si>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</si>
  <si>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</si>
  <si>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</si>
  <si>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</si>
  <si>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</si>
  <si>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</si>
  <si>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</si>
  <si>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</si>
  <si>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</si>
  <si>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</si>
  <si>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</si>
  <si>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</si>
  <si>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</si>
  <si>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</si>
  <si>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</si>
  <si>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</si>
  <si>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</si>
  <si>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</si>
  <si>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</si>
  <si>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</si>
  <si>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</si>
  <si>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</si>
  <si>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</si>
  <si>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</si>
  <si>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</si>
  <si>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</si>
  <si>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</si>
  <si>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</si>
  <si>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</si>
  <si>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</si>
  <si>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</si>
  <si>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</si>
  <si>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</si>
  <si>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</si>
  <si>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</si>
  <si>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</si>
  <si>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</si>
  <si>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</si>
  <si>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</si>
  <si>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</si>
  <si>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</si>
  <si>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</si>
  <si>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</si>
  <si>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</si>
  <si>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</si>
  <si>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</si>
  <si>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</si>
  <si>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</si>
  <si>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</si>
  <si>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</si>
  <si>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</si>
  <si>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</si>
  <si>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</si>
  <si>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</si>
  <si>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</si>
  <si>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</si>
  <si>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</si>
  <si>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</si>
  <si>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</si>
  <si>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</si>
  <si>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</si>
  <si>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</si>
  <si>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</si>
  <si>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</si>
  <si>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</si>
  <si>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</si>
  <si>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</si>
  <si>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</si>
  <si>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</si>
  <si>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</si>
  <si>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</si>
  <si>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</si>
  <si>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</si>
  <si>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</si>
  <si>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</si>
  <si>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</si>
  <si>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</si>
  <si>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</si>
  <si>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</si>
  <si>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</si>
  <si>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</si>
  <si>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</si>
  <si>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</si>
  <si>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</si>
  <si>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</si>
  <si>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</si>
  <si>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</si>
  <si>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</si>
  <si>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</si>
  <si>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</si>
  <si>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</si>
  <si>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</si>
  <si>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</si>
  <si>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</si>
  <si>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</si>
  <si>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</si>
  <si>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</si>
  <si>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</si>
  <si>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</si>
  <si>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</si>
  <si>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</si>
  <si>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</si>
  <si>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</si>
  <si>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</si>
  <si>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</si>
  <si>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</si>
  <si>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</si>
  <si>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</si>
  <si>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</si>
  <si>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</si>
  <si>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</si>
  <si>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</si>
  <si>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</si>
  <si>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</si>
  <si>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</si>
  <si>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</si>
  <si>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</si>
  <si>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</si>
  <si>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</si>
  <si>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</si>
  <si>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</si>
  <si>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</si>
  <si>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</si>
  <si>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</si>
  <si>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</si>
  <si>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</si>
  <si>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</si>
  <si>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</si>
  <si>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</si>
  <si>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</si>
  <si>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</si>
  <si>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</si>
  <si>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</si>
  <si>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</si>
  <si>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</si>
  <si>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</si>
  <si>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</si>
  <si>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</si>
  <si>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</si>
  <si>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</si>
  <si>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</si>
  <si>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</si>
  <si>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</si>
  <si>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</si>
  <si>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</si>
  <si>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</si>
  <si>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</si>
  <si>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</si>
  <si>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</si>
  <si>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</si>
  <si>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</si>
  <si>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</si>
  <si>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</si>
  <si>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</si>
  <si>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</si>
  <si>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</si>
  <si>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</si>
  <si>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</si>
  <si>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</si>
  <si>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</si>
  <si>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</si>
  <si>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</si>
  <si>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</si>
  <si>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</si>
  <si>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</si>
  <si>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</si>
  <si>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</si>
  <si>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</si>
  <si>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</si>
  <si>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</si>
  <si>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</si>
  <si>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</si>
  <si>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</si>
  <si>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</si>
  <si>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</si>
  <si>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</si>
  <si>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</si>
  <si>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</si>
  <si>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</si>
  <si>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</si>
  <si>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</si>
  <si>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</si>
  <si>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</si>
  <si>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</si>
  <si>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</si>
  <si>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</si>
  <si>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</si>
  <si>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</si>
  <si>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</si>
  <si>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</si>
  <si>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</si>
  <si>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</si>
  <si>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</si>
  <si>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</si>
  <si>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</si>
  <si>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</si>
  <si>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</si>
  <si>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</si>
  <si>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</si>
  <si>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</si>
  <si>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</si>
  <si>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</si>
  <si>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</si>
  <si>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</si>
  <si>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</si>
  <si>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</si>
  <si>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</si>
  <si>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</si>
  <si>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</si>
  <si>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</si>
  <si>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</si>
  <si>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</si>
  <si>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</si>
  <si>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</si>
  <si>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</si>
  <si>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</si>
  <si>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</si>
  <si>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</si>
  <si>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</si>
  <si>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</si>
  <si>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</si>
  <si>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</si>
  <si>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</si>
  <si>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</si>
  <si>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</si>
  <si>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</si>
  <si>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</si>
  <si>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</si>
  <si>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</si>
  <si>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</si>
  <si>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</si>
  <si>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</si>
  <si>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</si>
  <si>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</si>
  <si>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</si>
  <si>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</si>
  <si>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</si>
  <si>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</si>
  <si>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</si>
  <si>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</si>
  <si>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</si>
  <si>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</si>
  <si>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</si>
  <si>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</si>
  <si>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</si>
  <si>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</si>
  <si>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</si>
  <si>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</si>
  <si>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</si>
  <si>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</si>
  <si>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</si>
  <si>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</si>
  <si>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</si>
  <si>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</si>
  <si>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</si>
  <si>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</si>
  <si>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</si>
  <si>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</si>
  <si>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</si>
  <si>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</si>
  <si>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</si>
  <si>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</si>
  <si>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</si>
  <si>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</si>
  <si>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</si>
  <si>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</si>
  <si>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</si>
  <si>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</si>
  <si>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</si>
  <si>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</si>
  <si>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</si>
  <si>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</si>
  <si>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</si>
  <si>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</si>
  <si>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</si>
  <si>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</si>
  <si>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</si>
  <si>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</si>
  <si>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</si>
  <si>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</si>
  <si>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</si>
  <si>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</si>
  <si>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</si>
  <si>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</si>
  <si>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</si>
  <si>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</si>
  <si>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</si>
  <si>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</si>
  <si>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</si>
  <si>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</si>
  <si>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</si>
  <si>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</si>
  <si>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</si>
  <si>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</si>
  <si>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</si>
  <si>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</si>
  <si>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</si>
  <si>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</si>
  <si>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</si>
  <si>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</si>
  <si>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</si>
  <si>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</si>
  <si>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</si>
  <si>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</si>
  <si>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</si>
  <si>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</si>
  <si>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</si>
  <si>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</si>
  <si>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</si>
  <si>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</si>
  <si>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</si>
  <si>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</si>
  <si>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</si>
  <si>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</si>
  <si>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</si>
  <si>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</si>
  <si>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</si>
  <si>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</si>
  <si>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</si>
  <si>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</si>
  <si>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</si>
  <si>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</si>
  <si>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</si>
  <si>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</si>
  <si>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</si>
  <si>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</si>
  <si>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</si>
  <si>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</si>
  <si>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</si>
  <si>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</si>
  <si>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</si>
  <si>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</si>
  <si>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</si>
  <si>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</si>
  <si>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</si>
  <si>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</si>
  <si>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</si>
  <si>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</si>
  <si>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</si>
  <si>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</si>
  <si>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</si>
  <si>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</si>
  <si>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</si>
  <si>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</si>
  <si>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</si>
  <si>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</si>
  <si>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</si>
  <si>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</si>
  <si>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</si>
  <si>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</si>
  <si>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</si>
  <si>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</si>
  <si>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</si>
  <si>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</si>
  <si>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</si>
  <si>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</si>
  <si>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</si>
  <si>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</si>
  <si>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</si>
  <si>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</si>
  <si>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</si>
  <si>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</si>
  <si>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</si>
  <si>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</si>
  <si>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</si>
  <si>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</si>
  <si>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</si>
  <si>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</si>
  <si>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</si>
  <si>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</si>
  <si>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</si>
  <si>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</si>
  <si>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</si>
  <si>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</si>
  <si>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</si>
  <si>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</si>
  <si>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</si>
  <si>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</si>
  <si>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</si>
  <si>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</si>
  <si>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</si>
  <si>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</si>
  <si>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</si>
  <si>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</si>
  <si>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</si>
  <si>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</si>
  <si>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</si>
  <si>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</si>
  <si>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</si>
  <si>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</si>
  <si>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</si>
  <si>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</si>
  <si>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</si>
  <si>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</si>
  <si>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</si>
  <si>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</si>
  <si>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</si>
  <si>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</si>
  <si>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</si>
  <si>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</si>
  <si>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</si>
  <si>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</si>
  <si>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</si>
  <si>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</si>
  <si>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</si>
  <si>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</si>
  <si>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</si>
  <si>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</si>
  <si>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</si>
  <si>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</si>
  <si>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</si>
  <si>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</si>
  <si>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</si>
  <si>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</si>
  <si>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</si>
  <si>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</si>
  <si>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</si>
  <si>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</si>
  <si>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</si>
  <si>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</si>
  <si>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</si>
  <si>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</si>
  <si>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</si>
  <si>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</si>
  <si>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</si>
  <si>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</si>
  <si>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</si>
  <si>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</si>
  <si>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</si>
  <si>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</si>
  <si>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</si>
  <si>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</si>
  <si>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</si>
  <si>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</si>
  <si>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</si>
  <si>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</si>
  <si>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</si>
  <si>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</si>
  <si>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</si>
  <si>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</si>
  <si>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</si>
  <si>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</si>
  <si>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</si>
  <si>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</si>
  <si>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</si>
  <si>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</si>
  <si>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</si>
  <si>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</si>
  <si>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</si>
  <si>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</si>
  <si>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</si>
  <si>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</si>
  <si>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</si>
  <si>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</si>
  <si>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</si>
  <si>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</si>
  <si>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</si>
  <si>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</si>
  <si>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</si>
  <si>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</si>
  <si>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</si>
  <si>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</si>
  <si>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</si>
  <si>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</si>
  <si>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</si>
  <si>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</si>
  <si>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</si>
  <si>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</si>
  <si>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</si>
  <si>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</si>
  <si>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</si>
  <si>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</si>
  <si>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</si>
  <si>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</si>
  <si>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</si>
  <si>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</si>
  <si>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</si>
  <si>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</si>
  <si>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</si>
  <si>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</si>
  <si>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</si>
  <si>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</si>
  <si>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</si>
  <si>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</si>
  <si>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</si>
  <si>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</si>
  <si>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</si>
  <si>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</si>
  <si>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</si>
  <si>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</si>
  <si>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</si>
  <si>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</si>
  <si>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</si>
  <si>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</si>
  <si>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</si>
  <si>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</si>
  <si>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</si>
  <si>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</si>
  <si>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</si>
  <si>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</si>
  <si>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</si>
  <si>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</si>
  <si>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</si>
  <si>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</si>
  <si>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</si>
  <si>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</si>
  <si>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</si>
  <si>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</si>
  <si>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</si>
  <si>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</si>
  <si>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</si>
  <si>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</si>
  <si>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</si>
  <si>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</si>
  <si>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</si>
  <si>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</si>
  <si>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</si>
  <si>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</si>
  <si>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</si>
  <si>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</si>
  <si>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</si>
  <si>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</si>
  <si>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</si>
  <si>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</si>
  <si>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</si>
  <si>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</si>
  <si>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</si>
  <si>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</si>
  <si>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</si>
  <si>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</si>
  <si>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</si>
  <si>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</si>
  <si>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</si>
  <si>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</si>
  <si>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</si>
  <si>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</si>
  <si>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</si>
  <si>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</si>
  <si>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</si>
  <si>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</si>
  <si>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</si>
  <si>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</si>
  <si>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</si>
  <si>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</si>
  <si>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</si>
  <si>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</si>
  <si>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</si>
  <si>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</si>
  <si>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</si>
  <si>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</si>
  <si>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</si>
  <si>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</si>
  <si>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</si>
  <si>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</si>
  <si>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</si>
  <si>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</si>
  <si>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</si>
  <si>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</si>
  <si>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</si>
  <si>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</si>
  <si>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</si>
  <si>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</si>
  <si>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</si>
  <si>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</si>
  <si>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</si>
  <si>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</si>
  <si>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</si>
  <si>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</si>
  <si>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</si>
  <si>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</si>
  <si>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</si>
  <si>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</si>
  <si>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</si>
  <si>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</si>
  <si>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</si>
  <si>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</si>
  <si>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</si>
  <si>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</si>
  <si>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</si>
  <si>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</si>
  <si>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</si>
  <si>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</si>
  <si>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</si>
  <si>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</si>
  <si>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</si>
  <si>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</si>
  <si>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</si>
  <si>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</si>
  <si>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</si>
  <si>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</si>
  <si>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</si>
  <si>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</si>
  <si>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</si>
  <si>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</si>
  <si>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</si>
  <si>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</si>
  <si>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</si>
  <si>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</si>
  <si>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</si>
  <si>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</si>
  <si>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</si>
  <si>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</si>
  <si>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</si>
  <si>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</si>
  <si>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</si>
  <si>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</si>
  <si>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</si>
  <si>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</si>
  <si>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</si>
  <si>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</si>
  <si>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</si>
  <si>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</si>
  <si>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</si>
  <si>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</si>
  <si>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</si>
  <si>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</si>
  <si>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</si>
  <si>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</si>
  <si>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</si>
  <si>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</si>
  <si>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</si>
  <si>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</si>
  <si>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</si>
  <si>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</si>
  <si>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</si>
  <si>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</si>
  <si>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</si>
  <si>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</si>
  <si>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</si>
  <si>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</si>
  <si>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</si>
  <si>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</si>
  <si>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</si>
  <si>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</si>
  <si>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</si>
  <si>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</si>
  <si>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</si>
  <si>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</si>
  <si>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</si>
  <si>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</si>
  <si>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</si>
  <si>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</si>
  <si>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</si>
  <si>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</si>
  <si>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</si>
  <si>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</si>
  <si>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</si>
  <si>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</si>
  <si>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</si>
  <si>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</si>
  <si>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</si>
  <si>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</si>
  <si>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</si>
  <si>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</si>
  <si>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</si>
  <si>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</si>
  <si>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</si>
  <si>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</si>
  <si>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</si>
  <si>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</si>
  <si>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</si>
  <si>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</si>
  <si>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</si>
  <si>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</si>
  <si>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</si>
  <si>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</si>
  <si>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</si>
  <si>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</si>
  <si>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</si>
  <si>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</si>
  <si>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</si>
  <si>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</si>
  <si>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</si>
  <si>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</si>
  <si>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</si>
  <si>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</si>
  <si>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</si>
  <si>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</si>
  <si>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</si>
  <si>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</si>
  <si>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</si>
  <si>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</si>
  <si>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</si>
  <si>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</si>
  <si>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</si>
  <si>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</si>
  <si>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</si>
  <si>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</si>
  <si>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</si>
  <si>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</si>
  <si>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</si>
  <si>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</si>
  <si>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</si>
  <si>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</si>
  <si>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</si>
  <si>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</si>
  <si>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</si>
  <si>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</si>
  <si>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</si>
  <si>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</si>
  <si>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</si>
  <si>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</si>
  <si>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</si>
  <si>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</si>
  <si>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</si>
  <si>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</si>
  <si>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</si>
  <si>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</si>
  <si>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</si>
  <si>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</si>
  <si>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</si>
  <si>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</si>
  <si>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</si>
  <si>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</si>
  <si>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</si>
  <si>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</si>
  <si>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</si>
  <si>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</si>
  <si>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</si>
  <si>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</si>
  <si>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</si>
  <si>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</si>
  <si>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</si>
  <si>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</si>
  <si>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</si>
  <si>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</si>
  <si>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</si>
  <si>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</si>
  <si>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</si>
  <si>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</si>
  <si>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</si>
  <si>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</si>
  <si>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</si>
  <si>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</si>
  <si>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</si>
  <si>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</si>
  <si>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</si>
  <si>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</si>
  <si>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</si>
  <si>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</si>
  <si>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</si>
  <si>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</si>
  <si>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</si>
  <si>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</si>
  <si>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</si>
  <si>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</si>
  <si>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</si>
  <si>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</si>
  <si>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</si>
  <si>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</si>
  <si>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</si>
  <si>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</si>
  <si>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</si>
  <si>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</si>
  <si>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</si>
  <si>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</si>
  <si>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</si>
  <si>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</si>
  <si>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</si>
  <si>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</si>
  <si>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</si>
  <si>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</si>
  <si>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</si>
  <si>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</si>
  <si>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</si>
  <si>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</si>
  <si>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</si>
  <si>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</si>
  <si>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</si>
  <si>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</si>
  <si>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</si>
  <si>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</si>
  <si>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</si>
  <si>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</si>
  <si>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</si>
  <si>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</si>
  <si>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</si>
  <si>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</si>
  <si>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</si>
  <si>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</si>
  <si>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</si>
  <si>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</si>
  <si>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</si>
  <si>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</si>
  <si>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</si>
  <si>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</si>
  <si>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</si>
  <si>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</si>
  <si>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</si>
  <si>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</si>
  <si>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</si>
  <si>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</si>
  <si>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</si>
  <si>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</si>
  <si>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</si>
  <si>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</si>
  <si>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</si>
  <si>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</si>
  <si>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</si>
  <si>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</si>
  <si>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</si>
  <si>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</si>
  <si>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</si>
  <si>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</si>
  <si>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</si>
  <si>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</si>
  <si>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</si>
  <si>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</si>
  <si>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</si>
  <si>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</si>
  <si>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</si>
  <si>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</si>
  <si>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</si>
  <si>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</si>
  <si>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</si>
  <si>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</si>
  <si>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</si>
  <si>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</si>
  <si>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</si>
  <si>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</si>
  <si>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</si>
  <si>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</si>
  <si>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</si>
  <si>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</si>
  <si>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</si>
  <si>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</si>
  <si>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</si>
  <si>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</si>
  <si>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</si>
  <si>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</si>
  <si>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</si>
  <si>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</si>
  <si>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</si>
  <si>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</si>
  <si>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</si>
  <si>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</si>
  <si>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</si>
  <si>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</si>
  <si>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</si>
  <si>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</si>
  <si>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</si>
  <si>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</si>
  <si>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</si>
  <si>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</si>
  <si>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</si>
  <si>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</si>
  <si>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</si>
  <si>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</si>
  <si>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</si>
  <si>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</si>
  <si>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</si>
  <si>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</si>
  <si>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</si>
  <si>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</si>
  <si>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</si>
  <si>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</si>
  <si>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</si>
  <si>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</si>
  <si>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</si>
  <si>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</si>
  <si>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</si>
  <si>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</si>
  <si>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</si>
  <si>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</si>
  <si>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</si>
  <si>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</si>
  <si>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</si>
  <si>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</si>
  <si>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</si>
  <si>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</si>
  <si>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</si>
  <si>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</si>
  <si>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</si>
  <si>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</si>
  <si>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</si>
  <si>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</si>
  <si>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</si>
  <si>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</si>
  <si>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</si>
  <si>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</si>
  <si>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</si>
  <si>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</si>
  <si>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</si>
  <si>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</si>
  <si>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</si>
  <si>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</si>
  <si>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</si>
  <si>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</si>
  <si>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</si>
  <si>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</si>
  <si>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</si>
  <si>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</si>
  <si>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</si>
  <si>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</si>
  <si>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</si>
  <si>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</si>
  <si>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</si>
  <si>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</si>
  <si>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</si>
  <si>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</si>
  <si>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</si>
  <si>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</si>
  <si>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</si>
  <si>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</si>
  <si>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</si>
  <si>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</si>
  <si>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</si>
  <si>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</si>
  <si>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</si>
  <si>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</si>
  <si>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</si>
  <si>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</si>
  <si>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</si>
  <si>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</si>
  <si>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</si>
  <si>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</si>
  <si>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</si>
  <si>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</si>
  <si>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</si>
  <si>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</si>
  <si>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</si>
  <si>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</si>
  <si>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</si>
  <si>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</si>
  <si>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</si>
  <si>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</si>
  <si>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</si>
  <si>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</si>
  <si>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</si>
  <si>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</si>
  <si>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</si>
  <si>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</si>
  <si>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</si>
  <si>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</si>
  <si>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</si>
  <si>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</si>
  <si>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</si>
  <si>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</si>
  <si>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</si>
  <si>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</si>
  <si>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</si>
  <si>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</si>
  <si>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</si>
  <si>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</si>
  <si>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</si>
  <si>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</si>
  <si>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</si>
  <si>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</si>
  <si>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</si>
  <si>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</si>
  <si>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</si>
  <si>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</si>
  <si>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</si>
  <si>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</si>
  <si>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</si>
  <si>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</si>
  <si>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</si>
  <si>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</si>
  <si>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</si>
  <si>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</si>
  <si>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</si>
  <si>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</si>
  <si>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</si>
  <si>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</si>
  <si>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</si>
  <si>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</si>
  <si>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</si>
  <si>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</si>
  <si>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</si>
  <si>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</si>
  <si>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</si>
  <si>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</si>
  <si>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</si>
  <si>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</si>
  <si>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</si>
  <si>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</si>
  <si>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</si>
  <si>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</si>
  <si>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</si>
  <si>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</si>
  <si>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</si>
  <si>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</si>
  <si>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</si>
  <si>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</si>
  <si>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</si>
  <si>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</si>
  <si>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</si>
  <si>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</si>
  <si>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</si>
  <si>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</si>
  <si>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</si>
  <si>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</si>
  <si>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</si>
  <si>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</si>
  <si>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</si>
  <si>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</si>
  <si>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</si>
  <si>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</si>
  <si>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</si>
  <si>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</si>
  <si>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</si>
  <si>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</si>
  <si>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</si>
  <si>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</si>
  <si>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</si>
  <si>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</si>
  <si>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</si>
  <si>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</si>
  <si>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</si>
  <si>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</si>
  <si>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</si>
  <si>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</si>
  <si>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</si>
  <si>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</si>
  <si>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</si>
  <si>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</si>
  <si>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</si>
  <si>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</si>
  <si>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</si>
  <si>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</si>
  <si>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</si>
  <si>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</si>
  <si>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</si>
  <si>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</si>
  <si>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</si>
  <si>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</si>
  <si>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</si>
  <si>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</si>
  <si>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</si>
  <si>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</si>
  <si>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</si>
  <si>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</si>
  <si>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</si>
  <si>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</si>
  <si>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</si>
  <si>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</si>
  <si>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</si>
  <si>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</si>
  <si>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</si>
  <si>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</si>
  <si>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</si>
  <si>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</si>
  <si>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</si>
  <si>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</si>
  <si>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</si>
  <si>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</si>
  <si>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</si>
  <si>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</si>
  <si>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</si>
  <si>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</si>
  <si>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</si>
  <si>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</si>
  <si>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</si>
  <si>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</si>
  <si>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</si>
  <si>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</si>
  <si>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</si>
  <si>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</si>
  <si>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</si>
  <si>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</si>
  <si>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</si>
  <si>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</si>
  <si>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</si>
  <si>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</si>
  <si>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</si>
  <si>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</si>
  <si>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</si>
  <si>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</si>
  <si>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</si>
  <si>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</si>
  <si>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</si>
  <si>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</si>
  <si>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</si>
  <si>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</si>
  <si>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</si>
  <si>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</si>
  <si>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</si>
  <si>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</si>
  <si>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</si>
  <si>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</si>
  <si>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</si>
  <si>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</si>
  <si>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</si>
  <si>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</si>
  <si>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</si>
  <si>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</si>
  <si>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</si>
  <si>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</si>
  <si>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</si>
  <si>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</si>
  <si>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</si>
  <si>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</si>
  <si>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</si>
  <si>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</si>
  <si>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</si>
  <si>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</si>
  <si>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</si>
  <si>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</si>
  <si>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</si>
  <si>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</si>
  <si>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</si>
  <si>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</si>
  <si>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</si>
  <si>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</si>
  <si>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</si>
  <si>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</si>
  <si>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</si>
  <si>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</si>
  <si>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</si>
  <si>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</si>
  <si>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</si>
  <si>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</si>
  <si>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</si>
  <si>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</si>
  <si>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</si>
  <si>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</si>
  <si>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</si>
  <si>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</si>
  <si>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</si>
  <si>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</si>
  <si>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</si>
  <si>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</si>
  <si>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</si>
  <si>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</si>
  <si>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</si>
  <si>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</si>
  <si>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</si>
  <si>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</si>
  <si>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</si>
  <si>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</si>
  <si>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</si>
  <si>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</si>
  <si>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</si>
  <si>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</si>
  <si>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</si>
  <si>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</si>
  <si>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</si>
  <si>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</si>
  <si>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</si>
  <si>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</si>
  <si>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</si>
  <si>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</si>
  <si>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</si>
  <si>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</si>
  <si>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</si>
  <si>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</si>
  <si>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</si>
  <si>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</si>
  <si>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</si>
  <si>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</si>
  <si>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</si>
  <si>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</si>
  <si>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</si>
  <si>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</si>
  <si>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</si>
  <si>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</si>
  <si>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</si>
  <si>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</si>
  <si>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</si>
  <si>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</si>
  <si>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</si>
  <si>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</si>
  <si>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</si>
  <si>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</si>
  <si>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</si>
  <si>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</si>
  <si>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</si>
  <si>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</si>
  <si>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</si>
  <si>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</si>
  <si>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</si>
  <si>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</si>
  <si>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</si>
  <si>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</si>
  <si>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</si>
  <si>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</si>
  <si>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</si>
  <si>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</si>
  <si>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</si>
  <si>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</si>
  <si>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</si>
  <si>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</si>
  <si>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</si>
  <si>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</si>
  <si>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</si>
  <si>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</si>
  <si>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</si>
  <si>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</si>
  <si>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</si>
  <si>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</si>
  <si>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</si>
  <si>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</si>
  <si>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</si>
  <si>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</si>
  <si>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</si>
  <si>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</si>
  <si>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</si>
  <si>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</si>
  <si>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</si>
  <si>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</si>
  <si>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</si>
  <si>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</si>
  <si>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</si>
  <si>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</si>
  <si>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</si>
  <si>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</si>
  <si>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</si>
  <si>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</si>
  <si>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</si>
  <si>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</si>
  <si>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</si>
  <si>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</si>
  <si>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</si>
  <si>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</si>
  <si>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</si>
  <si>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</si>
  <si>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</si>
  <si>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</si>
  <si>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</si>
  <si>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</si>
  <si>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</si>
  <si>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</si>
  <si>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</si>
  <si>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</si>
  <si>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</si>
  <si>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</si>
  <si>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</si>
  <si>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</si>
  <si>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</si>
  <si>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</si>
  <si>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</si>
  <si>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</si>
  <si>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</si>
  <si>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</si>
  <si>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</si>
  <si>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</si>
  <si>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</si>
  <si>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</si>
  <si>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</si>
  <si>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</si>
  <si>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</si>
  <si>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</si>
  <si>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</si>
  <si>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</si>
  <si>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</si>
  <si>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</si>
  <si>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</si>
  <si>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</si>
  <si>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</si>
  <si>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</si>
  <si>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</si>
  <si>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</si>
  <si>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</si>
  <si>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</si>
  <si>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</si>
  <si>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</si>
  <si>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</si>
  <si>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</si>
  <si>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</si>
  <si>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</si>
  <si>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</si>
  <si>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</si>
  <si>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</si>
  <si>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</si>
  <si>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</si>
  <si>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</si>
  <si>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</si>
  <si>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</si>
  <si>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</si>
  <si>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</si>
  <si>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</si>
  <si>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</si>
  <si>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</si>
  <si>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</si>
  <si>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</si>
  <si>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</si>
  <si>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</si>
  <si>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</si>
  <si>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</si>
  <si>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</si>
  <si>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</si>
  <si>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</si>
  <si>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</si>
  <si>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</si>
  <si>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</si>
  <si>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</si>
  <si>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</si>
  <si>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</si>
  <si>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</si>
  <si>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</si>
  <si>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</si>
  <si>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</si>
  <si>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</si>
  <si>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</si>
  <si>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</si>
  <si>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</si>
  <si>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</si>
  <si>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</si>
  <si>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</si>
  <si>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</si>
  <si>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</si>
  <si>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</si>
  <si>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</si>
  <si>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</si>
  <si>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</si>
  <si>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</si>
  <si>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</si>
  <si>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</si>
  <si>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</si>
  <si>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</si>
  <si>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</si>
  <si>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</si>
  <si>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</si>
  <si>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</si>
  <si>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</si>
  <si>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</si>
  <si>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</si>
  <si>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</si>
  <si>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</si>
  <si>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</si>
  <si>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</si>
  <si>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</si>
  <si>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</si>
  <si>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</si>
  <si>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</si>
  <si>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</si>
  <si>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</si>
  <si>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</si>
  <si>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</si>
  <si>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</si>
  <si>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</si>
  <si>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</si>
  <si>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</si>
  <si>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</si>
  <si>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</si>
  <si>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</si>
  <si>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</si>
  <si>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</si>
  <si>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</si>
  <si>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</si>
  <si>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</si>
  <si>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</si>
  <si>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</si>
  <si>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</si>
  <si>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</si>
  <si>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</si>
  <si>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</si>
  <si>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</si>
  <si>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</si>
  <si>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</si>
  <si>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</si>
  <si>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</si>
  <si>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</si>
  <si>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</si>
  <si>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</si>
  <si>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</si>
  <si>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</si>
  <si>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</si>
  <si>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</si>
  <si>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</si>
  <si>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</si>
  <si>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</si>
  <si>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</si>
  <si>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</si>
  <si>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</si>
  <si>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</si>
  <si>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</si>
  <si>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</si>
  <si>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</si>
  <si>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</si>
  <si>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</si>
  <si>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</si>
  <si>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</si>
  <si>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</si>
  <si>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</si>
  <si>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</si>
  <si>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</si>
  <si>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</si>
  <si>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</si>
  <si>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</si>
  <si>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</si>
  <si>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</si>
  <si>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</si>
  <si>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</si>
  <si>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</si>
  <si>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</si>
  <si>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</si>
  <si>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</si>
  <si>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</si>
  <si>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</si>
  <si>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</si>
  <si>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</si>
  <si>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</si>
  <si>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</si>
  <si>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</si>
  <si>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</si>
  <si>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</si>
  <si>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</si>
  <si>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</si>
  <si>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</si>
  <si>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</si>
  <si>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</si>
  <si>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</si>
  <si>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</si>
  <si>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</si>
  <si>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</si>
  <si>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</si>
  <si>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</si>
  <si>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</si>
  <si>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</si>
  <si>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</si>
  <si>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</si>
  <si>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</si>
  <si>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</si>
  <si>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</si>
  <si>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</si>
  <si>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</si>
  <si>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</si>
  <si>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</si>
  <si>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</si>
  <si>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</si>
  <si>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</si>
  <si>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</si>
  <si>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</si>
  <si>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</si>
  <si>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</si>
  <si>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</si>
  <si>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</si>
  <si>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</si>
  <si>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</si>
  <si>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</si>
  <si>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</si>
  <si>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</si>
  <si>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</si>
  <si>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</si>
  <si>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</si>
  <si>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</si>
  <si>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</si>
  <si>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</si>
  <si>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</si>
  <si>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</si>
  <si>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</si>
  <si>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</si>
  <si>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</si>
  <si>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</si>
  <si>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</si>
  <si>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</si>
  <si>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</si>
  <si>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</si>
  <si>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</si>
  <si>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</si>
  <si>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</si>
  <si>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</si>
  <si>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</si>
  <si>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</si>
  <si>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</si>
  <si>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</si>
  <si>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</si>
  <si>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</si>
  <si>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</si>
  <si>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</si>
  <si>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</si>
  <si>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</si>
  <si>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</si>
  <si>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</si>
  <si>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</si>
  <si>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</si>
  <si>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</si>
  <si>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</si>
  <si>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</si>
  <si>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</si>
  <si>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</si>
  <si>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</si>
  <si>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</si>
  <si>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</si>
  <si>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</si>
  <si>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</si>
  <si>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</si>
  <si>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</si>
  <si>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</si>
  <si>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</si>
  <si>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</si>
  <si>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</si>
  <si>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</si>
  <si>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</si>
  <si>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</si>
  <si>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</si>
  <si>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</si>
  <si>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</si>
  <si>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</si>
  <si>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</si>
  <si>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</si>
  <si>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</si>
  <si>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</si>
  <si>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</si>
  <si>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</si>
  <si>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</si>
  <si>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</si>
  <si>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</si>
  <si>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</si>
  <si>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</si>
  <si>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</si>
  <si>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</si>
  <si>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</si>
  <si>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</si>
  <si>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</si>
  <si>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</si>
  <si>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</si>
  <si>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</si>
  <si>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</si>
  <si>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</si>
  <si>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</si>
  <si>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</si>
  <si>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</si>
  <si>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</si>
  <si>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</si>
  <si>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</si>
  <si>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</si>
  <si>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</si>
  <si>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</si>
  <si>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</si>
  <si>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</si>
  <si>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</si>
  <si>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</si>
  <si>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</si>
  <si>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</si>
  <si>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</si>
  <si>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</si>
  <si>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</si>
  <si>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</si>
  <si>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</si>
  <si>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</si>
  <si>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</si>
  <si>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</si>
  <si>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</si>
  <si>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</si>
  <si>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</si>
  <si>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</si>
  <si>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</si>
  <si>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</si>
  <si>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</si>
  <si>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</si>
  <si>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</si>
  <si>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</si>
  <si>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</si>
  <si>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</si>
  <si>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</si>
  <si>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</si>
  <si>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</si>
  <si>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</si>
  <si>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</si>
  <si>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</si>
  <si>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</si>
  <si>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</si>
  <si>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</si>
  <si>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</si>
  <si>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</si>
  <si>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</si>
  <si>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</si>
  <si>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</si>
  <si>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</si>
  <si>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</si>
  <si>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</si>
  <si>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</si>
  <si>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</si>
  <si>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</si>
  <si>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</si>
  <si>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</si>
  <si>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</si>
  <si>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</si>
  <si>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</si>
  <si>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</si>
  <si>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</si>
  <si>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</si>
  <si>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</si>
  <si>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</si>
  <si>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</si>
  <si>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</si>
  <si>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</si>
  <si>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</si>
  <si>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</si>
  <si>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</si>
  <si>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</si>
  <si>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</si>
  <si>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</si>
  <si>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</si>
  <si>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</si>
  <si>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</si>
  <si>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</si>
  <si>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</si>
  <si>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</si>
  <si>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</si>
  <si>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</si>
  <si>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</si>
  <si>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</si>
  <si>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</si>
  <si>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</si>
  <si>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</si>
  <si>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</si>
  <si>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</si>
  <si>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</si>
  <si>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</si>
  <si>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</si>
  <si>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</si>
  <si>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</si>
  <si>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</si>
  <si>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</si>
  <si>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</si>
  <si>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</si>
  <si>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</si>
  <si>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</si>
  <si>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</si>
  <si>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</si>
  <si>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</si>
  <si>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</si>
  <si>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</si>
  <si>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</si>
  <si>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</si>
  <si>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</si>
  <si>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</si>
  <si>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</si>
  <si>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</si>
  <si>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</si>
  <si>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</si>
  <si>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</si>
  <si>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</si>
  <si>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</si>
  <si>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</si>
  <si>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</si>
  <si>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</si>
  <si>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</si>
  <si>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</si>
  <si>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</si>
  <si>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</si>
  <si>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</si>
  <si>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</si>
  <si>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</si>
  <si>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</si>
  <si>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</si>
  <si>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</si>
  <si>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</si>
  <si>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</si>
  <si>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</si>
  <si>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</si>
  <si>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</si>
  <si>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</si>
  <si>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</si>
  <si>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</si>
  <si>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</si>
  <si>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</si>
  <si>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</si>
  <si>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</si>
  <si>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</si>
  <si>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</si>
  <si>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</si>
  <si>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</si>
  <si>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</si>
  <si>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</si>
  <si>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</si>
  <si>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</si>
  <si>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</si>
  <si>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</si>
  <si>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</si>
  <si>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</si>
  <si>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</si>
  <si>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</si>
  <si>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</si>
  <si>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</si>
  <si>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</si>
  <si>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</si>
  <si>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</si>
  <si>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</si>
  <si>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</si>
  <si>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</si>
  <si>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</si>
  <si>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</si>
  <si>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</si>
  <si>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</si>
  <si>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</si>
  <si>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</si>
  <si>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</si>
  <si>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</si>
  <si>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</si>
  <si>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</si>
  <si>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</si>
  <si>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</si>
  <si>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</si>
  <si>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</si>
  <si>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</si>
  <si>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</si>
  <si>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</si>
  <si>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</si>
  <si>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</si>
  <si>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</si>
  <si>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</si>
  <si>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</si>
  <si>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</si>
  <si>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</si>
  <si>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</si>
  <si>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</si>
  <si>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</si>
  <si>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</si>
  <si>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</si>
  <si>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</si>
  <si>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</si>
  <si>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</si>
  <si>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</si>
  <si>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</si>
  <si>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</si>
  <si>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</si>
  <si>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</si>
  <si>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</si>
  <si>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</si>
  <si>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</si>
  <si>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</si>
  <si>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</si>
  <si>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</si>
  <si>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</si>
  <si>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</si>
  <si>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</si>
  <si>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</si>
  <si>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</si>
  <si>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</si>
  <si>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</si>
  <si>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</si>
  <si>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</si>
  <si>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</si>
  <si>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</si>
  <si>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</si>
  <si>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</si>
  <si>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</si>
  <si>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</si>
  <si>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</si>
  <si>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</si>
  <si>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</si>
  <si>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</si>
  <si>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</si>
  <si>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</si>
  <si>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</si>
  <si>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</si>
  <si>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</si>
  <si>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</si>
  <si>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</si>
  <si>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</si>
  <si>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</si>
  <si>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</si>
  <si>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</si>
  <si>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</si>
  <si>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</si>
  <si>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</si>
  <si>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</si>
  <si>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</si>
  <si>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</si>
  <si>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</si>
  <si>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</si>
  <si>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</si>
  <si>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</si>
  <si>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</si>
  <si>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</si>
  <si>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</si>
  <si>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</si>
  <si>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</si>
  <si>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</si>
  <si>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</si>
  <si>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</si>
  <si>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</si>
  <si>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</si>
  <si>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</si>
  <si>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</si>
  <si>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</si>
  <si>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</si>
  <si>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</si>
  <si>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</si>
  <si>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</si>
  <si>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</si>
  <si>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</si>
  <si>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</si>
  <si>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</si>
  <si>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</si>
  <si>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</si>
  <si>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</si>
  <si>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</si>
  <si>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</si>
  <si>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</si>
  <si>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</si>
  <si>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</si>
  <si>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</si>
  <si>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</si>
  <si>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</si>
  <si>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</si>
  <si>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</si>
  <si>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</si>
  <si>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</si>
  <si>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</si>
  <si>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</si>
  <si>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</si>
  <si>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</si>
  <si>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</si>
  <si>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</si>
  <si>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</si>
  <si>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</si>
  <si>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</si>
  <si>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</si>
  <si>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</si>
  <si>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</si>
  <si>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</si>
  <si>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</si>
  <si>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</si>
  <si>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</si>
  <si>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</si>
  <si>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</si>
  <si>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</si>
  <si>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</si>
  <si>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</si>
  <si>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</si>
  <si>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</si>
  <si>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</si>
  <si>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</si>
  <si>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</si>
  <si>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</si>
  <si>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</si>
  <si>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</si>
  <si>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</si>
  <si>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</si>
  <si>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</si>
  <si>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</si>
  <si>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</si>
  <si>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</si>
  <si>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</si>
  <si>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</si>
  <si>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</si>
  <si>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</si>
  <si>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</si>
  <si>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</si>
  <si>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</si>
  <si>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</si>
  <si>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</si>
  <si>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</si>
  <si>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</si>
  <si>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</si>
  <si>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</si>
  <si>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</si>
  <si>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</si>
  <si>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</si>
  <si>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</si>
  <si>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</si>
  <si>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</si>
  <si>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</si>
  <si>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</si>
  <si>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</si>
  <si>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</si>
  <si>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</si>
  <si>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</si>
  <si>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</si>
  <si>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</si>
  <si>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</si>
  <si>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</si>
  <si>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</si>
  <si>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</si>
  <si>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</si>
  <si>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</si>
  <si>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</si>
  <si>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</si>
  <si>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</si>
  <si>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</si>
  <si>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</si>
  <si>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</si>
  <si>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</si>
  <si>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</si>
  <si>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</si>
  <si>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</si>
  <si>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</si>
  <si>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</si>
  <si>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</si>
  <si>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</si>
  <si>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</si>
  <si>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</si>
  <si>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</si>
  <si>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</si>
  <si>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</si>
  <si>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</si>
  <si>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</si>
  <si>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</si>
  <si>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</si>
  <si>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</si>
  <si>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</si>
  <si>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</si>
  <si>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</si>
  <si>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</si>
  <si>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</si>
  <si>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</si>
  <si>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</si>
  <si>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</si>
  <si>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</si>
  <si>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</si>
  <si>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</si>
  <si>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</si>
  <si>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</si>
  <si>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</si>
  <si>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</si>
  <si>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</si>
  <si>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</si>
  <si>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</si>
  <si>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</si>
  <si>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</si>
  <si>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</si>
  <si>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</si>
  <si>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</si>
  <si>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</si>
  <si>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</si>
  <si>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</si>
  <si>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</si>
  <si>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</si>
  <si>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</si>
  <si>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</si>
  <si>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</si>
  <si>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</si>
  <si>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</si>
  <si>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</si>
  <si>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</si>
  <si>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</si>
  <si>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</si>
  <si>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</si>
  <si>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</si>
  <si>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</si>
  <si>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</si>
  <si>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</si>
  <si>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</si>
  <si>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</si>
  <si>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</si>
  <si>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</si>
  <si>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</si>
  <si>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</si>
  <si>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</si>
  <si>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</si>
  <si>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</si>
  <si>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</si>
  <si>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</si>
  <si>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</si>
  <si>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</si>
  <si>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</si>
  <si>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</si>
  <si>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</si>
  <si>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</si>
  <si>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</si>
  <si>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</si>
  <si>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</si>
  <si>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</si>
  <si>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</si>
  <si>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</si>
  <si>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</si>
  <si>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</si>
  <si>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</si>
  <si>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</si>
  <si>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</si>
  <si>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</si>
  <si>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</si>
  <si>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</si>
  <si>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</si>
  <si>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</si>
  <si>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</si>
  <si>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</si>
  <si>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</si>
  <si>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</si>
  <si>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</si>
  <si>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</si>
  <si>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</si>
  <si>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</si>
  <si>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</si>
  <si>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</si>
  <si>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</si>
  <si>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</si>
  <si>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</si>
  <si>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</si>
  <si>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</si>
  <si>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</si>
  <si>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</si>
  <si>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</si>
  <si>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</si>
  <si>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</si>
  <si>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</si>
  <si>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</si>
  <si>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</si>
  <si>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</si>
  <si>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</si>
  <si>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</si>
  <si>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</si>
  <si>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</si>
  <si>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</si>
  <si>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</si>
  <si>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</si>
  <si>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</si>
  <si>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</si>
  <si>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</si>
  <si>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</si>
  <si>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</si>
  <si>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</si>
  <si>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</si>
  <si>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</si>
  <si>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</si>
  <si>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</si>
  <si>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</si>
  <si>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</si>
  <si>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</si>
  <si>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</si>
  <si>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</si>
  <si>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</si>
  <si>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</si>
  <si>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</si>
  <si>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</si>
  <si>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</si>
  <si>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</si>
  <si>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</si>
  <si>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</si>
  <si>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</si>
  <si>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</si>
  <si>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</si>
  <si>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</si>
  <si>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</si>
  <si>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</si>
  <si>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</si>
  <si>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</si>
  <si>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</si>
  <si>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</si>
  <si>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</si>
  <si>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</si>
  <si>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</si>
  <si>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</si>
  <si>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</si>
  <si>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</si>
  <si>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</si>
  <si>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</si>
  <si>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</si>
  <si>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</si>
  <si>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</si>
  <si>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</si>
  <si>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</si>
  <si>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</si>
  <si>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</si>
  <si>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</si>
  <si>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</si>
  <si>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</si>
  <si>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</si>
  <si>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</si>
  <si>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</si>
  <si>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</si>
  <si>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</si>
  <si>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</si>
  <si>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</si>
  <si>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</si>
  <si>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</si>
  <si>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</si>
  <si>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</si>
  <si>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</si>
  <si>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</si>
  <si>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</si>
  <si>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</si>
  <si>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</si>
  <si>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</si>
  <si>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</si>
  <si>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</si>
  <si>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</si>
  <si>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</si>
  <si>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</si>
  <si>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</si>
  <si>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</si>
  <si>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</si>
  <si>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</si>
  <si>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</si>
  <si>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</si>
  <si>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</si>
  <si>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</si>
  <si>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</si>
  <si>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</si>
  <si>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</si>
  <si>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</si>
  <si>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</si>
  <si>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</si>
  <si>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</si>
  <si>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</si>
  <si>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</si>
  <si>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</si>
  <si>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</si>
  <si>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</si>
  <si>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</si>
  <si>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</si>
  <si>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</si>
  <si>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</si>
  <si>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</si>
  <si>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</si>
  <si>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</si>
  <si>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</si>
  <si>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</si>
  <si>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</si>
  <si>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</si>
  <si>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</si>
  <si>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</si>
  <si>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</si>
  <si>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</si>
  <si>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</si>
  <si>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</si>
  <si>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</si>
  <si>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</si>
  <si>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</si>
  <si>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</si>
  <si>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</si>
  <si>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</si>
  <si>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</si>
  <si>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</si>
  <si>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</si>
  <si>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</si>
  <si>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</si>
  <si>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</si>
  <si>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</si>
  <si>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</si>
  <si>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</si>
  <si>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</si>
  <si>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</si>
  <si>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</si>
  <si>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</si>
  <si>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</si>
  <si>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</si>
  <si>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</si>
  <si>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</si>
  <si>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</si>
  <si>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</si>
  <si>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</si>
  <si>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</si>
  <si>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</si>
  <si>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</si>
  <si>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</si>
  <si>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</si>
  <si>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</si>
  <si>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</si>
  <si>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</si>
  <si>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</si>
  <si>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</si>
  <si>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</si>
  <si>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</si>
  <si>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</si>
  <si>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</si>
  <si>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</si>
  <si>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</si>
  <si>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</si>
  <si>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</si>
  <si>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</si>
  <si>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</si>
  <si>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</si>
  <si>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</si>
  <si>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</si>
  <si>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</si>
  <si>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</si>
  <si>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</si>
  <si>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</si>
  <si>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</si>
  <si>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</si>
  <si>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</si>
  <si>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</si>
  <si>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</si>
  <si>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</si>
  <si>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</si>
  <si>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</si>
  <si>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</si>
  <si>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</si>
  <si>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</si>
  <si>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</si>
  <si>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</si>
  <si>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</si>
  <si>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</si>
  <si>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</si>
  <si>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</si>
  <si>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</si>
  <si>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</si>
  <si>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</si>
  <si>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</si>
  <si>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</si>
  <si>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</si>
  <si>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</si>
  <si>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</si>
  <si>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</si>
  <si>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</si>
  <si>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</si>
  <si>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</si>
  <si>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</si>
  <si>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</si>
  <si>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</si>
  <si>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</si>
  <si>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</si>
  <si>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</si>
  <si>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</si>
  <si>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</si>
  <si>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</si>
  <si>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</si>
  <si>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</si>
  <si>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</si>
  <si>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</si>
  <si>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</si>
  <si>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</si>
  <si>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</si>
  <si>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</si>
  <si>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</si>
  <si>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</si>
  <si>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</si>
  <si>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</si>
  <si>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</si>
  <si>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</si>
  <si>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</si>
  <si>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</si>
  <si>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</si>
  <si>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</si>
  <si>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</si>
  <si>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</si>
  <si>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</si>
  <si>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</si>
  <si>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</si>
  <si>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</si>
  <si>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</si>
  <si>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</si>
  <si>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</si>
  <si>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</si>
  <si>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</si>
  <si>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</si>
  <si>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</si>
  <si>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</si>
  <si>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</si>
  <si>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</si>
  <si>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</si>
  <si>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</si>
  <si>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</si>
  <si>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</si>
  <si>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</si>
  <si>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</si>
  <si>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</si>
  <si>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</si>
  <si>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</si>
  <si>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</si>
  <si>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</si>
  <si>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</si>
  <si>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</si>
  <si>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</si>
  <si>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</si>
  <si>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</si>
  <si>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</si>
  <si>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</si>
  <si>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</si>
  <si>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</si>
  <si>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</si>
  <si>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</si>
  <si>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</si>
  <si>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</si>
  <si>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</si>
  <si>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</si>
  <si>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</si>
  <si>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</si>
  <si>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</si>
  <si>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</si>
  <si>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</si>
  <si>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</si>
  <si>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</si>
  <si>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</si>
  <si>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</si>
  <si>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</si>
  <si>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</si>
  <si>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</si>
  <si>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</si>
  <si>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</si>
  <si>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</si>
  <si>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</si>
  <si>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</si>
  <si>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</si>
  <si>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</si>
  <si>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</si>
  <si>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</si>
  <si>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</si>
  <si>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</si>
  <si>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</si>
  <si>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</si>
  <si>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</si>
  <si>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</si>
  <si>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</si>
  <si>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</si>
  <si>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</si>
  <si>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</si>
  <si>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</si>
  <si>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</si>
  <si>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</si>
  <si>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</si>
  <si>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</si>
  <si>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</si>
  <si>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</si>
  <si>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</si>
  <si>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</si>
  <si>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</si>
  <si>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</si>
  <si>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</si>
  <si>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</si>
  <si>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</si>
  <si>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</si>
  <si>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</si>
  <si>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</si>
  <si>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</si>
  <si>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</si>
  <si>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</si>
  <si>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</si>
  <si>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</si>
  <si>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</si>
  <si>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</si>
  <si>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</si>
  <si>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</si>
  <si>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</si>
  <si>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</si>
  <si>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</si>
  <si>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</si>
  <si>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</si>
  <si>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</si>
  <si>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</si>
  <si>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</si>
  <si>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</si>
  <si>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</si>
  <si>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</si>
  <si>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</si>
  <si>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</si>
  <si>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</si>
  <si>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</si>
  <si>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</si>
  <si>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</si>
  <si>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</si>
  <si>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</si>
  <si>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</si>
  <si>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</si>
  <si>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</si>
  <si>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</si>
  <si>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</si>
  <si>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</si>
  <si>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</si>
  <si>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</si>
  <si>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</si>
  <si>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</si>
  <si>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</si>
  <si>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</si>
  <si>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</si>
  <si>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</si>
  <si>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</si>
  <si>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</si>
  <si>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</si>
  <si>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</si>
  <si>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</si>
  <si>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</si>
  <si>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</si>
  <si>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</si>
  <si>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</si>
  <si>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</si>
  <si>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</si>
  <si>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</si>
  <si>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</si>
  <si>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</si>
  <si>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</si>
  <si>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</si>
  <si>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</si>
  <si>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</si>
  <si>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</si>
  <si>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</si>
  <si>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</si>
  <si>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</si>
  <si>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</si>
  <si>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</si>
  <si>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</si>
  <si>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</si>
  <si>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</si>
  <si>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</si>
  <si>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</si>
  <si>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</si>
  <si>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</si>
  <si>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</si>
  <si>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</si>
  <si>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</si>
  <si>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</si>
  <si>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</si>
  <si>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</si>
  <si>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</si>
  <si>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</si>
  <si>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</si>
  <si>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</si>
  <si>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</si>
  <si>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</si>
  <si>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</si>
  <si>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</si>
  <si>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</si>
  <si>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</si>
  <si>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</si>
  <si>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</si>
  <si>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</si>
  <si>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</si>
  <si>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</si>
  <si>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</si>
  <si>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</si>
  <si>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</si>
  <si>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</si>
  <si>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</si>
  <si>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</si>
  <si>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Check_Price</t>
  </si>
  <si>
    <t>Mismatch</t>
  </si>
  <si>
    <t>IF(O2=P2,"OK","MISMATCH")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</si>
</sst>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F9FAFB"/>
      <name val="Consolas"/>
      <family val="3"/>
    </font>
    <font>
      <sz val="7"/>
      <color rgb="FFF9FAF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0" fontId="1" fillId="0" borderId="2" xfId="0" applyFont="1" applyFill="1" applyBorder="1" applyAlignment="1">
      <alignment horizontal="center" vertical="top"/>
    </xf>
    <xf numFmtId="0" fontId="2" fillId="0" borderId="0" xfId="0" applyFont="1"/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041"/>
  <sheetViews>
    <sheetView tabSelected="1" topLeftCell="J1" workbookViewId="0">
      <selection activeCell="Q2" sqref="Q2"/>
    </sheetView>
  </sheetViews>
  <sheetFormatPr defaultRowHeight="14.5" x14ac:dyDescent="0.35"/>
  <cols>
    <col min="1" max="1" width="13.7265625" customWidth="1"/>
    <col min="2" max="2" width="20.26953125" style="5" customWidth="1"/>
    <col min="3" max="3" width="13.6328125" customWidth="1"/>
    <col min="4" max="4" width="18.7265625" customWidth="1"/>
    <col min="5" max="5" width="23.90625" customWidth="1"/>
    <col min="7" max="7" width="21" style="7" customWidth="1"/>
    <col min="8" max="8" width="14.7265625" style="3" customWidth="1"/>
    <col min="9" max="9" width="20.54296875" style="3" customWidth="1"/>
    <col min="10" max="10" width="21" style="3" customWidth="1"/>
    <col min="11" max="11" width="16.453125" style="3" customWidth="1"/>
    <col min="12" max="12" width="15.54296875" style="3" customWidth="1"/>
    <col min="13" max="13" width="18.90625" style="10" customWidth="1"/>
    <col min="14" max="14" width="17.90625" style="3" customWidth="1"/>
    <col min="15" max="15" width="19.1796875" style="7" customWidth="1"/>
    <col min="16" max="16" width="21.453125" customWidth="1"/>
    <col min="17" max="17" width="21.6328125" customWidth="1"/>
  </cols>
  <sheetData>
    <row r="1" spans="1:17" x14ac:dyDescent="0.35">
      <c r="A1" s="1" t="s">
        <v>0</v>
      </c>
      <c r="B1" s="4" t="s">
        <v>1</v>
      </c>
      <c r="C1" s="1" t="s">
        <v>2</v>
      </c>
      <c r="D1" s="1"/>
      <c r="E1" s="1" t="s">
        <v>3</v>
      </c>
      <c r="F1" s="1" t="s">
        <v>4</v>
      </c>
      <c r="G1" s="6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6" t="s">
        <v>13</v>
      </c>
      <c r="P1" s="8" t="s">
        <v>4284</v>
      </c>
      <c r="Q1" s="8" t="s">
        <v>4285</v>
      </c>
    </row>
    <row r="2" spans="1:17" x14ac:dyDescent="0.35">
      <c r="A2" t="s">
        <v>14</v>
      </c>
      <c r="B2" s="5">
        <v>44930</v>
      </c>
      <c r="C2" t="s">
        <v>1214</v>
      </c>
      <c r="D2" s="1" t="str">
        <f>PROPER(TRIM(E2))</f>
        <v>Monitor</v>
      </c>
      <c r="E2" t="s">
        <v>2403</v>
      </c>
      <c r="F2">
        <v>5</v>
      </c>
      <c r="G2" s="7">
        <v>570.62</v>
      </c>
      <c r="H2" s="3" t="s">
        <v>2410</v>
      </c>
      <c r="I2" s="3" t="s">
        <v>3065</v>
      </c>
      <c r="J2" s="3" t="s">
        <v>3070</v>
      </c>
      <c r="K2" s="3" t="s">
        <v>3075</v>
      </c>
      <c r="L2" s="3">
        <v>7</v>
      </c>
      <c r="M2" s="10" t="s">
        <v>4275</v>
      </c>
      <c r="N2" s="3" t="s">
        <v>4278</v>
      </c>
      <c r="O2" s="7">
        <v>2853.1</v>
      </c>
      <c r="P2" s="3">
        <f>G2*F2</f>
        <v>2853.1</v>
      </c>
      <c r="Q2" s="9" t="str">
        <f>IF(O2=P2,"OK","MISMATCH")</f>
        <v>OK</v>
      </c>
    </row>
    <row r="3" spans="1:17" x14ac:dyDescent="0.35">
      <c r="A3" t="s">
        <v>15</v>
      </c>
      <c r="B3" s="5">
        <v>45527</v>
      </c>
      <c r="C3" t="s">
        <v>1215</v>
      </c>
      <c r="D3" s="1" t="str">
        <f>PROPER(TRIM(E3))</f>
        <v>Phone</v>
      </c>
      <c r="E3" t="s">
        <v>2404</v>
      </c>
      <c r="F3">
        <v>2</v>
      </c>
      <c r="G3" s="7">
        <v>151.35</v>
      </c>
      <c r="H3" s="3" t="s">
        <v>2411</v>
      </c>
      <c r="I3" s="3" t="s">
        <v>3066</v>
      </c>
      <c r="J3" s="3" t="s">
        <v>3070</v>
      </c>
      <c r="K3" s="3" t="s">
        <v>3076</v>
      </c>
      <c r="L3" s="3">
        <v>3</v>
      </c>
      <c r="M3" s="10" t="s">
        <v>4275</v>
      </c>
      <c r="N3" s="3" t="s">
        <v>4279</v>
      </c>
      <c r="O3" s="7">
        <v>302.7</v>
      </c>
      <c r="P3" s="3">
        <f t="shared" ref="P3:P66" si="0">G3*F3</f>
        <v>302.7</v>
      </c>
      <c r="Q3" s="12"/>
    </row>
    <row r="4" spans="1:17" x14ac:dyDescent="0.35">
      <c r="A4" t="s">
        <v>16</v>
      </c>
      <c r="B4" s="5">
        <v>45349</v>
      </c>
      <c r="C4" t="s">
        <v>1216</v>
      </c>
      <c r="D4" s="1" t="str">
        <f t="shared" ref="D2:D10" si="1">PROPER(TRIM(E5))</f>
        <v>Chair</v>
      </c>
      <c r="E4" t="s">
        <v>2405</v>
      </c>
      <c r="F4">
        <v>5</v>
      </c>
      <c r="G4" s="7">
        <v>550.67999999999995</v>
      </c>
      <c r="H4" s="3" t="s">
        <v>2412</v>
      </c>
      <c r="I4" s="3" t="s">
        <v>3067</v>
      </c>
      <c r="J4" s="3" t="s">
        <v>3071</v>
      </c>
      <c r="K4" s="3" t="s">
        <v>3077</v>
      </c>
      <c r="L4" s="3">
        <v>8</v>
      </c>
      <c r="M4" s="10" t="s">
        <v>4276</v>
      </c>
      <c r="N4" s="3" t="s">
        <v>4280</v>
      </c>
      <c r="O4" s="7">
        <v>2753.4</v>
      </c>
      <c r="P4" s="3">
        <f t="shared" si="0"/>
        <v>2753.3999999999996</v>
      </c>
      <c r="Q4" s="9" t="s">
        <v>4286</v>
      </c>
    </row>
    <row r="5" spans="1:17" x14ac:dyDescent="0.35">
      <c r="A5" t="s">
        <v>17</v>
      </c>
      <c r="B5" s="5">
        <v>45214</v>
      </c>
      <c r="C5" t="s">
        <v>1217</v>
      </c>
      <c r="D5" s="1" t="str">
        <f t="shared" si="1"/>
        <v>Printer</v>
      </c>
      <c r="E5" t="s">
        <v>2406</v>
      </c>
      <c r="F5">
        <v>1</v>
      </c>
      <c r="G5" s="7">
        <v>273.19</v>
      </c>
      <c r="H5" s="3" t="s">
        <v>2413</v>
      </c>
      <c r="I5" s="3" t="s">
        <v>3065</v>
      </c>
      <c r="J5" s="3" t="s">
        <v>3072</v>
      </c>
      <c r="K5" s="3" t="s">
        <v>3078</v>
      </c>
      <c r="L5" s="3">
        <v>5</v>
      </c>
      <c r="M5" s="10" t="s">
        <v>4275</v>
      </c>
      <c r="N5" s="3" t="s">
        <v>4281</v>
      </c>
      <c r="O5" s="7">
        <v>273.19</v>
      </c>
      <c r="P5" s="3">
        <f t="shared" si="0"/>
        <v>273.19</v>
      </c>
      <c r="Q5" s="9" t="s">
        <v>4286</v>
      </c>
    </row>
    <row r="6" spans="1:17" x14ac:dyDescent="0.35">
      <c r="A6" t="s">
        <v>18</v>
      </c>
      <c r="B6" s="5">
        <v>45785</v>
      </c>
      <c r="C6" t="s">
        <v>1218</v>
      </c>
      <c r="D6" s="1" t="str">
        <f t="shared" si="1"/>
        <v>Phone</v>
      </c>
      <c r="E6" t="s">
        <v>2407</v>
      </c>
      <c r="F6">
        <v>4</v>
      </c>
      <c r="G6" s="7">
        <v>626.01</v>
      </c>
      <c r="H6" s="3" t="s">
        <v>2414</v>
      </c>
      <c r="I6" s="3" t="s">
        <v>3066</v>
      </c>
      <c r="J6" s="3" t="s">
        <v>3073</v>
      </c>
      <c r="K6" s="3" t="s">
        <v>3079</v>
      </c>
      <c r="L6" s="3">
        <v>8</v>
      </c>
      <c r="M6" s="10" t="s">
        <v>4275</v>
      </c>
      <c r="N6" s="3" t="s">
        <v>4280</v>
      </c>
      <c r="O6" s="7">
        <v>2504.04</v>
      </c>
      <c r="P6" s="3">
        <f t="shared" si="0"/>
        <v>2504.04</v>
      </c>
      <c r="Q6" s="9" t="s">
        <v>4286</v>
      </c>
    </row>
    <row r="7" spans="1:17" x14ac:dyDescent="0.35">
      <c r="A7" t="s">
        <v>19</v>
      </c>
      <c r="B7" s="5">
        <v>45222</v>
      </c>
      <c r="C7" t="s">
        <v>1219</v>
      </c>
      <c r="D7" s="1" t="str">
        <f t="shared" si="1"/>
        <v>Laptop</v>
      </c>
      <c r="E7" t="s">
        <v>2404</v>
      </c>
      <c r="F7">
        <v>2</v>
      </c>
      <c r="G7" s="7">
        <v>245.86</v>
      </c>
      <c r="H7" s="3" t="s">
        <v>2415</v>
      </c>
      <c r="I7" s="3" t="s">
        <v>3067</v>
      </c>
      <c r="J7" s="3" t="s">
        <v>3070</v>
      </c>
      <c r="K7" s="3" t="s">
        <v>3080</v>
      </c>
      <c r="L7" s="3">
        <v>4</v>
      </c>
      <c r="M7" s="10" t="s">
        <v>4275</v>
      </c>
      <c r="N7" s="3" t="s">
        <v>4278</v>
      </c>
      <c r="O7" s="7">
        <v>491.72</v>
      </c>
      <c r="P7" s="3">
        <f t="shared" si="0"/>
        <v>491.72</v>
      </c>
      <c r="Q7" s="9" t="s">
        <v>4286</v>
      </c>
    </row>
    <row r="8" spans="1:17" x14ac:dyDescent="0.35">
      <c r="A8" t="s">
        <v>20</v>
      </c>
      <c r="B8" s="5">
        <v>45825</v>
      </c>
      <c r="C8" t="s">
        <v>1220</v>
      </c>
      <c r="D8" s="1" t="str">
        <f t="shared" si="1"/>
        <v>Monitor</v>
      </c>
      <c r="E8" t="s">
        <v>2408</v>
      </c>
      <c r="F8">
        <v>1</v>
      </c>
      <c r="G8" s="7">
        <v>664.42</v>
      </c>
      <c r="H8" s="3" t="s">
        <v>2416</v>
      </c>
      <c r="I8" s="3" t="s">
        <v>3068</v>
      </c>
      <c r="J8" s="3" t="s">
        <v>3072</v>
      </c>
      <c r="K8" s="3" t="s">
        <v>3081</v>
      </c>
      <c r="L8" s="3">
        <v>6</v>
      </c>
      <c r="M8" s="10" t="s">
        <v>4275</v>
      </c>
      <c r="N8" s="3" t="s">
        <v>4281</v>
      </c>
      <c r="O8" s="7">
        <v>664.42</v>
      </c>
      <c r="P8" s="3">
        <f t="shared" si="0"/>
        <v>664.42</v>
      </c>
      <c r="Q8" s="9" t="s">
        <v>4286</v>
      </c>
    </row>
    <row r="9" spans="1:17" x14ac:dyDescent="0.35">
      <c r="A9" t="s">
        <v>21</v>
      </c>
      <c r="B9" s="5">
        <v>45058</v>
      </c>
      <c r="C9" t="s">
        <v>1221</v>
      </c>
      <c r="D9" s="1" t="str">
        <f t="shared" si="1"/>
        <v>Phone</v>
      </c>
      <c r="E9" t="s">
        <v>2403</v>
      </c>
      <c r="F9">
        <v>5</v>
      </c>
      <c r="G9" s="7">
        <v>149.55000000000001</v>
      </c>
      <c r="H9" s="3" t="s">
        <v>2417</v>
      </c>
      <c r="I9" s="3" t="s">
        <v>3069</v>
      </c>
      <c r="J9" s="3" t="s">
        <v>3070</v>
      </c>
      <c r="K9" s="3" t="s">
        <v>3082</v>
      </c>
      <c r="L9" s="3">
        <v>9</v>
      </c>
      <c r="M9" s="10" t="s">
        <v>4276</v>
      </c>
      <c r="N9" s="3" t="s">
        <v>4281</v>
      </c>
      <c r="O9" s="7">
        <v>747.75</v>
      </c>
      <c r="P9" s="3">
        <f t="shared" si="0"/>
        <v>747.75</v>
      </c>
      <c r="Q9" s="9" t="s">
        <v>4286</v>
      </c>
    </row>
    <row r="10" spans="1:17" x14ac:dyDescent="0.35">
      <c r="A10" t="s">
        <v>22</v>
      </c>
      <c r="B10" s="5">
        <v>45749</v>
      </c>
      <c r="C10" t="s">
        <v>1222</v>
      </c>
      <c r="D10" s="1" t="str">
        <f t="shared" si="1"/>
        <v>Desk</v>
      </c>
      <c r="E10" t="s">
        <v>2404</v>
      </c>
      <c r="F10">
        <v>2</v>
      </c>
      <c r="G10" s="7">
        <v>134.28</v>
      </c>
      <c r="H10" s="3" t="s">
        <v>2418</v>
      </c>
      <c r="I10" s="3" t="s">
        <v>3068</v>
      </c>
      <c r="J10" s="3" t="s">
        <v>3071</v>
      </c>
      <c r="K10" s="3" t="s">
        <v>3083</v>
      </c>
      <c r="L10" s="3">
        <v>2</v>
      </c>
      <c r="M10" s="10" t="s">
        <v>4283</v>
      </c>
      <c r="N10" s="3" t="s">
        <v>4280</v>
      </c>
      <c r="O10" s="7">
        <v>268.56</v>
      </c>
      <c r="P10" s="3">
        <f t="shared" si="0"/>
        <v>268.56</v>
      </c>
      <c r="Q10" s="9" t="s">
        <v>4286</v>
      </c>
    </row>
    <row r="11" spans="1:17" x14ac:dyDescent="0.35">
      <c r="A11" t="s">
        <v>23</v>
      </c>
      <c r="B11" s="5">
        <v>45251</v>
      </c>
      <c r="C11" t="s">
        <v>1223</v>
      </c>
      <c r="D11" s="1" t="str">
        <f t="shared" ref="D2:D65" si="2">PROPER(TRIM(E12))</f>
        <v>Tablet</v>
      </c>
      <c r="E11" t="s">
        <v>2409</v>
      </c>
      <c r="F11">
        <v>4</v>
      </c>
      <c r="G11" s="7">
        <v>509.38</v>
      </c>
      <c r="H11" s="3" t="s">
        <v>2419</v>
      </c>
      <c r="I11" s="3" t="s">
        <v>3067</v>
      </c>
      <c r="J11" s="3" t="s">
        <v>3070</v>
      </c>
      <c r="K11" s="3" t="s">
        <v>3084</v>
      </c>
      <c r="L11" s="3">
        <v>6</v>
      </c>
      <c r="M11" s="10" t="s">
        <v>4275</v>
      </c>
      <c r="N11" s="3" t="s">
        <v>4282</v>
      </c>
      <c r="O11" s="7">
        <v>2037.52</v>
      </c>
      <c r="P11" s="3">
        <f t="shared" si="0"/>
        <v>2037.52</v>
      </c>
      <c r="Q11" s="9" t="s">
        <v>4286</v>
      </c>
    </row>
    <row r="12" spans="1:17" x14ac:dyDescent="0.35">
      <c r="A12" t="s">
        <v>24</v>
      </c>
      <c r="B12" s="5">
        <v>45289</v>
      </c>
      <c r="C12" t="s">
        <v>1224</v>
      </c>
      <c r="D12" s="1" t="str">
        <f t="shared" si="2"/>
        <v>Monitor</v>
      </c>
      <c r="E12" t="s">
        <v>2405</v>
      </c>
      <c r="F12">
        <v>5</v>
      </c>
      <c r="G12" s="7">
        <v>625.97</v>
      </c>
      <c r="H12" s="3" t="s">
        <v>2420</v>
      </c>
      <c r="I12" s="3" t="s">
        <v>3067</v>
      </c>
      <c r="J12" s="3" t="s">
        <v>3072</v>
      </c>
      <c r="K12" s="3" t="s">
        <v>3085</v>
      </c>
      <c r="L12" s="3">
        <v>9</v>
      </c>
      <c r="M12" s="10" t="s">
        <v>4275</v>
      </c>
      <c r="N12" s="3" t="s">
        <v>4278</v>
      </c>
      <c r="O12" s="7">
        <v>3129.85</v>
      </c>
      <c r="P12" s="3">
        <f t="shared" si="0"/>
        <v>3129.8500000000004</v>
      </c>
      <c r="Q12" s="9" t="s">
        <v>4286</v>
      </c>
    </row>
    <row r="13" spans="1:17" x14ac:dyDescent="0.35">
      <c r="A13" t="s">
        <v>25</v>
      </c>
      <c r="B13" s="5">
        <v>45339</v>
      </c>
      <c r="C13" t="s">
        <v>1225</v>
      </c>
      <c r="D13" s="1" t="str">
        <f t="shared" si="2"/>
        <v>Monitor</v>
      </c>
      <c r="E13" t="s">
        <v>2403</v>
      </c>
      <c r="F13">
        <v>3</v>
      </c>
      <c r="G13" s="7">
        <v>49.14</v>
      </c>
      <c r="H13" s="3" t="s">
        <v>2421</v>
      </c>
      <c r="I13" s="3" t="s">
        <v>3066</v>
      </c>
      <c r="J13" s="3" t="s">
        <v>3072</v>
      </c>
      <c r="K13" s="3" t="s">
        <v>3086</v>
      </c>
      <c r="L13" s="3">
        <v>7</v>
      </c>
      <c r="M13" s="10" t="s">
        <v>4275</v>
      </c>
      <c r="N13" s="3" t="s">
        <v>4280</v>
      </c>
      <c r="O13" s="7">
        <v>147.41999999999999</v>
      </c>
      <c r="P13" s="3">
        <f t="shared" si="0"/>
        <v>147.42000000000002</v>
      </c>
      <c r="Q13" s="9" t="s">
        <v>4286</v>
      </c>
    </row>
    <row r="14" spans="1:17" x14ac:dyDescent="0.35">
      <c r="A14" t="s">
        <v>26</v>
      </c>
      <c r="B14" s="5">
        <v>45580</v>
      </c>
      <c r="C14" t="s">
        <v>1226</v>
      </c>
      <c r="D14" s="1" t="str">
        <f t="shared" si="2"/>
        <v>Laptop</v>
      </c>
      <c r="E14" t="s">
        <v>2403</v>
      </c>
      <c r="F14">
        <v>2</v>
      </c>
      <c r="G14" s="7">
        <v>180.5</v>
      </c>
      <c r="H14" s="3" t="s">
        <v>2422</v>
      </c>
      <c r="I14" s="3" t="s">
        <v>3065</v>
      </c>
      <c r="J14" s="3" t="s">
        <v>3074</v>
      </c>
      <c r="K14" s="3" t="s">
        <v>3087</v>
      </c>
      <c r="L14" s="3">
        <v>6</v>
      </c>
      <c r="M14" s="10" t="s">
        <v>4276</v>
      </c>
      <c r="N14" s="3" t="s">
        <v>4279</v>
      </c>
      <c r="O14" s="7">
        <v>361</v>
      </c>
      <c r="P14" s="3">
        <f t="shared" si="0"/>
        <v>361</v>
      </c>
      <c r="Q14" s="9" t="s">
        <v>4286</v>
      </c>
    </row>
    <row r="15" spans="1:17" x14ac:dyDescent="0.35">
      <c r="A15" t="s">
        <v>27</v>
      </c>
      <c r="B15" s="5">
        <v>45168</v>
      </c>
      <c r="C15" t="s">
        <v>1227</v>
      </c>
      <c r="D15" s="1" t="str">
        <f t="shared" si="2"/>
        <v>Tablet</v>
      </c>
      <c r="E15" t="s">
        <v>2408</v>
      </c>
      <c r="F15">
        <v>3</v>
      </c>
      <c r="G15" s="7">
        <v>201.49</v>
      </c>
      <c r="H15" s="3" t="s">
        <v>2423</v>
      </c>
      <c r="I15" s="3" t="s">
        <v>3067</v>
      </c>
      <c r="J15" s="3" t="s">
        <v>3072</v>
      </c>
      <c r="K15" s="3" t="s">
        <v>3088</v>
      </c>
      <c r="L15" s="3">
        <v>4</v>
      </c>
      <c r="M15" s="10" t="s">
        <v>4276</v>
      </c>
      <c r="N15" s="3" t="s">
        <v>4281</v>
      </c>
      <c r="O15" s="7">
        <v>604.47</v>
      </c>
      <c r="P15" s="3">
        <f t="shared" si="0"/>
        <v>604.47</v>
      </c>
      <c r="Q15" s="9" t="s">
        <v>4286</v>
      </c>
    </row>
    <row r="16" spans="1:17" x14ac:dyDescent="0.35">
      <c r="A16" t="s">
        <v>28</v>
      </c>
      <c r="B16" s="5">
        <v>45012</v>
      </c>
      <c r="C16" t="s">
        <v>1228</v>
      </c>
      <c r="D16" s="1" t="str">
        <f t="shared" si="2"/>
        <v>Printer</v>
      </c>
      <c r="E16" t="s">
        <v>2405</v>
      </c>
      <c r="F16">
        <v>2</v>
      </c>
      <c r="G16" s="7">
        <v>393.33</v>
      </c>
      <c r="H16" s="3" t="s">
        <v>2424</v>
      </c>
      <c r="I16" s="3" t="s">
        <v>3065</v>
      </c>
      <c r="J16" s="3" t="s">
        <v>3074</v>
      </c>
      <c r="K16" s="3" t="s">
        <v>3089</v>
      </c>
      <c r="L16" s="3">
        <v>3</v>
      </c>
      <c r="M16" s="10" t="s">
        <v>4275</v>
      </c>
      <c r="N16" s="3" t="s">
        <v>4278</v>
      </c>
      <c r="O16" s="7">
        <v>786.66</v>
      </c>
      <c r="P16" s="3">
        <f t="shared" si="0"/>
        <v>786.66</v>
      </c>
      <c r="Q16" s="9" t="s">
        <v>4286</v>
      </c>
    </row>
    <row r="17" spans="1:17" x14ac:dyDescent="0.35">
      <c r="A17" t="s">
        <v>29</v>
      </c>
      <c r="B17" s="5">
        <v>45124</v>
      </c>
      <c r="C17" t="s">
        <v>1229</v>
      </c>
      <c r="D17" s="1" t="str">
        <f t="shared" si="2"/>
        <v>Printer</v>
      </c>
      <c r="E17" t="s">
        <v>2407</v>
      </c>
      <c r="F17">
        <v>1</v>
      </c>
      <c r="G17" s="7">
        <v>473.96</v>
      </c>
      <c r="H17" s="3" t="s">
        <v>2425</v>
      </c>
      <c r="I17" s="3" t="s">
        <v>3069</v>
      </c>
      <c r="J17" s="3" t="s">
        <v>3073</v>
      </c>
      <c r="K17" s="3" t="s">
        <v>3090</v>
      </c>
      <c r="L17" s="3">
        <v>3</v>
      </c>
      <c r="N17" s="3" t="s">
        <v>4282</v>
      </c>
      <c r="O17" s="7">
        <v>473.96</v>
      </c>
      <c r="P17" s="3">
        <f t="shared" si="0"/>
        <v>473.96</v>
      </c>
      <c r="Q17" s="9" t="s">
        <v>4286</v>
      </c>
    </row>
    <row r="18" spans="1:17" x14ac:dyDescent="0.35">
      <c r="A18" t="s">
        <v>30</v>
      </c>
      <c r="B18" s="5">
        <v>44950</v>
      </c>
      <c r="C18" t="s">
        <v>1230</v>
      </c>
      <c r="D18" s="1" t="str">
        <f t="shared" si="2"/>
        <v>Tablet</v>
      </c>
      <c r="E18" t="s">
        <v>2407</v>
      </c>
      <c r="F18">
        <v>2</v>
      </c>
      <c r="G18" s="7">
        <v>533.80999999999995</v>
      </c>
      <c r="H18" s="3" t="s">
        <v>2426</v>
      </c>
      <c r="I18" s="3" t="s">
        <v>3067</v>
      </c>
      <c r="J18" s="3" t="s">
        <v>3074</v>
      </c>
      <c r="K18" s="3" t="s">
        <v>3091</v>
      </c>
      <c r="L18" s="3">
        <v>3</v>
      </c>
      <c r="M18" s="10" t="s">
        <v>4276</v>
      </c>
      <c r="N18" s="3" t="s">
        <v>4280</v>
      </c>
      <c r="O18" s="7">
        <v>1067.6199999999999</v>
      </c>
      <c r="P18" s="3">
        <f t="shared" si="0"/>
        <v>1067.6199999999999</v>
      </c>
      <c r="Q18" s="9" t="s">
        <v>4286</v>
      </c>
    </row>
    <row r="19" spans="1:17" x14ac:dyDescent="0.35">
      <c r="A19" t="s">
        <v>31</v>
      </c>
      <c r="B19" s="5">
        <v>45353</v>
      </c>
      <c r="C19" t="s">
        <v>1231</v>
      </c>
      <c r="D19" s="1" t="str">
        <f t="shared" si="2"/>
        <v>Desk</v>
      </c>
      <c r="E19" t="s">
        <v>2405</v>
      </c>
      <c r="F19">
        <v>1</v>
      </c>
      <c r="G19" s="7">
        <v>423.4</v>
      </c>
      <c r="H19" s="3" t="s">
        <v>2427</v>
      </c>
      <c r="I19" s="3" t="s">
        <v>3065</v>
      </c>
      <c r="J19" s="3" t="s">
        <v>3070</v>
      </c>
      <c r="K19" s="3" t="s">
        <v>3092</v>
      </c>
      <c r="L19" s="3">
        <v>3</v>
      </c>
      <c r="N19" s="3" t="s">
        <v>4279</v>
      </c>
      <c r="O19" s="7">
        <v>423.4</v>
      </c>
      <c r="P19" s="3">
        <f t="shared" si="0"/>
        <v>423.4</v>
      </c>
      <c r="Q19" s="9" t="s">
        <v>4286</v>
      </c>
    </row>
    <row r="20" spans="1:17" x14ac:dyDescent="0.35">
      <c r="A20" t="s">
        <v>32</v>
      </c>
      <c r="B20" s="5">
        <v>45742</v>
      </c>
      <c r="C20" t="s">
        <v>1232</v>
      </c>
      <c r="D20" s="1" t="str">
        <f t="shared" si="2"/>
        <v>Monitor</v>
      </c>
      <c r="E20" t="s">
        <v>2409</v>
      </c>
      <c r="F20">
        <v>1</v>
      </c>
      <c r="G20" s="7">
        <v>431.44</v>
      </c>
      <c r="H20" s="3" t="s">
        <v>2428</v>
      </c>
      <c r="I20" s="3" t="s">
        <v>3068</v>
      </c>
      <c r="J20" s="3" t="s">
        <v>3074</v>
      </c>
      <c r="K20" s="3" t="s">
        <v>3093</v>
      </c>
      <c r="L20" s="3">
        <v>3</v>
      </c>
      <c r="M20" s="10" t="s">
        <v>4275</v>
      </c>
      <c r="N20" s="3" t="s">
        <v>4281</v>
      </c>
      <c r="O20" s="7">
        <v>431.44</v>
      </c>
      <c r="P20" s="3">
        <f t="shared" si="0"/>
        <v>431.44</v>
      </c>
      <c r="Q20" s="9" t="s">
        <v>4286</v>
      </c>
    </row>
    <row r="21" spans="1:17" x14ac:dyDescent="0.35">
      <c r="A21" t="s">
        <v>33</v>
      </c>
      <c r="B21" s="5">
        <v>44949</v>
      </c>
      <c r="C21" t="s">
        <v>1233</v>
      </c>
      <c r="D21" s="1" t="str">
        <f t="shared" si="2"/>
        <v>Chair</v>
      </c>
      <c r="E21" t="s">
        <v>2403</v>
      </c>
      <c r="F21">
        <v>5</v>
      </c>
      <c r="G21" s="7">
        <v>224</v>
      </c>
      <c r="H21" s="3" t="s">
        <v>2429</v>
      </c>
      <c r="I21" s="3" t="s">
        <v>3069</v>
      </c>
      <c r="J21" s="3" t="s">
        <v>3072</v>
      </c>
      <c r="K21" s="3" t="s">
        <v>3094</v>
      </c>
      <c r="L21" s="3">
        <v>9</v>
      </c>
      <c r="M21" s="10" t="s">
        <v>4275</v>
      </c>
      <c r="N21" s="3" t="s">
        <v>4282</v>
      </c>
      <c r="O21" s="7">
        <v>1120</v>
      </c>
      <c r="P21" s="3">
        <f t="shared" si="0"/>
        <v>1120</v>
      </c>
      <c r="Q21" s="9" t="s">
        <v>4286</v>
      </c>
    </row>
    <row r="22" spans="1:17" x14ac:dyDescent="0.35">
      <c r="A22" t="s">
        <v>34</v>
      </c>
      <c r="B22" s="5">
        <v>45054</v>
      </c>
      <c r="C22" t="s">
        <v>1234</v>
      </c>
      <c r="D22" s="1" t="str">
        <f t="shared" si="2"/>
        <v>Monitor</v>
      </c>
      <c r="E22" t="s">
        <v>2406</v>
      </c>
      <c r="F22">
        <v>5</v>
      </c>
      <c r="G22" s="7">
        <v>62.51</v>
      </c>
      <c r="H22" s="3" t="s">
        <v>2430</v>
      </c>
      <c r="I22" s="3" t="s">
        <v>3069</v>
      </c>
      <c r="J22" s="3" t="s">
        <v>3074</v>
      </c>
      <c r="K22" s="3" t="s">
        <v>3095</v>
      </c>
      <c r="L22" s="3">
        <v>9</v>
      </c>
      <c r="M22" s="10" t="s">
        <v>4277</v>
      </c>
      <c r="N22" s="3" t="s">
        <v>4278</v>
      </c>
      <c r="O22" s="7">
        <v>312.55</v>
      </c>
      <c r="P22" s="3">
        <f t="shared" si="0"/>
        <v>312.55</v>
      </c>
      <c r="Q22" s="9" t="s">
        <v>4286</v>
      </c>
    </row>
    <row r="23" spans="1:17" x14ac:dyDescent="0.35">
      <c r="A23" t="s">
        <v>35</v>
      </c>
      <c r="B23" s="5">
        <v>45613</v>
      </c>
      <c r="C23" t="s">
        <v>1235</v>
      </c>
      <c r="D23" s="1" t="str">
        <f t="shared" si="2"/>
        <v>Monitor</v>
      </c>
      <c r="E23" t="s">
        <v>2403</v>
      </c>
      <c r="F23">
        <v>4</v>
      </c>
      <c r="G23" s="7">
        <v>342.95</v>
      </c>
      <c r="H23" s="3" t="s">
        <v>2431</v>
      </c>
      <c r="I23" s="3" t="s">
        <v>3069</v>
      </c>
      <c r="J23" s="3" t="s">
        <v>3073</v>
      </c>
      <c r="K23" s="3" t="s">
        <v>3096</v>
      </c>
      <c r="L23" s="3">
        <v>6</v>
      </c>
      <c r="N23" s="3" t="s">
        <v>4282</v>
      </c>
      <c r="O23" s="7">
        <v>1371.8</v>
      </c>
      <c r="P23" s="3">
        <f t="shared" si="0"/>
        <v>1371.8</v>
      </c>
      <c r="Q23" s="9" t="s">
        <v>4286</v>
      </c>
    </row>
    <row r="24" spans="1:17" x14ac:dyDescent="0.35">
      <c r="A24" t="s">
        <v>36</v>
      </c>
      <c r="B24" s="5">
        <v>44955</v>
      </c>
      <c r="C24" t="s">
        <v>1236</v>
      </c>
      <c r="D24" s="1" t="str">
        <f t="shared" si="2"/>
        <v>Phone</v>
      </c>
      <c r="E24" t="s">
        <v>2403</v>
      </c>
      <c r="F24">
        <v>2</v>
      </c>
      <c r="G24" s="7">
        <v>49.62</v>
      </c>
      <c r="H24" s="3" t="s">
        <v>2432</v>
      </c>
      <c r="I24" s="3" t="s">
        <v>3066</v>
      </c>
      <c r="J24" s="3" t="s">
        <v>3074</v>
      </c>
      <c r="K24" s="3" t="s">
        <v>3097</v>
      </c>
      <c r="L24" s="3">
        <v>2</v>
      </c>
      <c r="M24" s="10" t="s">
        <v>4275</v>
      </c>
      <c r="N24" s="3" t="s">
        <v>4282</v>
      </c>
      <c r="O24" s="7">
        <v>99.24</v>
      </c>
      <c r="P24" s="3">
        <f t="shared" si="0"/>
        <v>99.24</v>
      </c>
      <c r="Q24" s="9" t="s">
        <v>4286</v>
      </c>
    </row>
    <row r="25" spans="1:17" x14ac:dyDescent="0.35">
      <c r="A25" t="s">
        <v>37</v>
      </c>
      <c r="B25" s="5">
        <v>45756</v>
      </c>
      <c r="C25" t="s">
        <v>1237</v>
      </c>
      <c r="D25" s="1" t="str">
        <f t="shared" si="2"/>
        <v>Laptop</v>
      </c>
      <c r="E25" t="s">
        <v>2404</v>
      </c>
      <c r="F25">
        <v>4</v>
      </c>
      <c r="G25" s="7">
        <v>273.25</v>
      </c>
      <c r="H25" s="3" t="s">
        <v>2433</v>
      </c>
      <c r="I25" s="3" t="s">
        <v>3065</v>
      </c>
      <c r="J25" s="3" t="s">
        <v>3071</v>
      </c>
      <c r="K25" s="3" t="s">
        <v>3098</v>
      </c>
      <c r="L25" s="3">
        <v>5</v>
      </c>
      <c r="M25" s="10" t="s">
        <v>4276</v>
      </c>
      <c r="N25" s="3" t="s">
        <v>4279</v>
      </c>
      <c r="O25" s="7">
        <v>1093</v>
      </c>
      <c r="P25" s="3">
        <f t="shared" si="0"/>
        <v>1093</v>
      </c>
      <c r="Q25" s="9" t="s">
        <v>4286</v>
      </c>
    </row>
    <row r="26" spans="1:17" x14ac:dyDescent="0.35">
      <c r="A26" t="s">
        <v>38</v>
      </c>
      <c r="B26" s="5">
        <v>45595</v>
      </c>
      <c r="C26" t="s">
        <v>1238</v>
      </c>
      <c r="D26" s="1" t="str">
        <f t="shared" si="2"/>
        <v>Monitor</v>
      </c>
      <c r="E26" t="s">
        <v>2408</v>
      </c>
      <c r="F26">
        <v>2</v>
      </c>
      <c r="G26" s="7">
        <v>230.95</v>
      </c>
      <c r="H26" s="3" t="s">
        <v>2434</v>
      </c>
      <c r="I26" s="3" t="s">
        <v>3066</v>
      </c>
      <c r="J26" s="3" t="s">
        <v>3073</v>
      </c>
      <c r="K26" s="3" t="s">
        <v>3099</v>
      </c>
      <c r="L26" s="3">
        <v>3</v>
      </c>
      <c r="M26" s="10" t="s">
        <v>4277</v>
      </c>
      <c r="N26" s="3" t="s">
        <v>4279</v>
      </c>
      <c r="O26" s="7">
        <v>461.9</v>
      </c>
      <c r="P26" s="3">
        <f t="shared" si="0"/>
        <v>461.9</v>
      </c>
      <c r="Q26" s="9" t="s">
        <v>4286</v>
      </c>
    </row>
    <row r="27" spans="1:17" x14ac:dyDescent="0.35">
      <c r="A27" t="s">
        <v>39</v>
      </c>
      <c r="B27" s="5">
        <v>45497</v>
      </c>
      <c r="C27" t="s">
        <v>1239</v>
      </c>
      <c r="D27" s="1" t="str">
        <f t="shared" si="2"/>
        <v>Laptop</v>
      </c>
      <c r="E27" t="s">
        <v>2403</v>
      </c>
      <c r="F27">
        <v>1</v>
      </c>
      <c r="G27" s="7">
        <v>399.98</v>
      </c>
      <c r="H27" s="3" t="s">
        <v>2435</v>
      </c>
      <c r="I27" s="3" t="s">
        <v>3065</v>
      </c>
      <c r="J27" s="3" t="s">
        <v>3073</v>
      </c>
      <c r="K27" s="3" t="s">
        <v>3100</v>
      </c>
      <c r="L27" s="3">
        <v>3</v>
      </c>
      <c r="M27" s="10" t="s">
        <v>4277</v>
      </c>
      <c r="N27" s="3" t="s">
        <v>4280</v>
      </c>
      <c r="O27" s="7">
        <v>399.98</v>
      </c>
      <c r="P27" s="3">
        <f t="shared" si="0"/>
        <v>399.98</v>
      </c>
      <c r="Q27" s="9" t="s">
        <v>4286</v>
      </c>
    </row>
    <row r="28" spans="1:17" x14ac:dyDescent="0.35">
      <c r="A28" t="s">
        <v>40</v>
      </c>
      <c r="B28" s="5">
        <v>45357</v>
      </c>
      <c r="C28" t="s">
        <v>1240</v>
      </c>
      <c r="D28" s="1" t="str">
        <f t="shared" si="2"/>
        <v>Printer</v>
      </c>
      <c r="E28" t="s">
        <v>2408</v>
      </c>
      <c r="F28">
        <v>5</v>
      </c>
      <c r="G28" s="7">
        <v>59.55</v>
      </c>
      <c r="H28" s="3" t="s">
        <v>2436</v>
      </c>
      <c r="I28" s="3" t="s">
        <v>3066</v>
      </c>
      <c r="J28" s="3" t="s">
        <v>3073</v>
      </c>
      <c r="K28" s="3" t="s">
        <v>3101</v>
      </c>
      <c r="L28" s="3">
        <v>6</v>
      </c>
      <c r="N28" s="3" t="s">
        <v>4279</v>
      </c>
      <c r="O28" s="7">
        <v>297.75</v>
      </c>
      <c r="P28" s="3">
        <f t="shared" si="0"/>
        <v>297.75</v>
      </c>
      <c r="Q28" s="9" t="s">
        <v>4286</v>
      </c>
    </row>
    <row r="29" spans="1:17" x14ac:dyDescent="0.35">
      <c r="A29" t="s">
        <v>41</v>
      </c>
      <c r="B29" s="5">
        <v>45344</v>
      </c>
      <c r="C29" t="s">
        <v>1241</v>
      </c>
      <c r="D29" s="1" t="str">
        <f t="shared" si="2"/>
        <v>Phone</v>
      </c>
      <c r="E29" t="s">
        <v>2407</v>
      </c>
      <c r="F29">
        <v>1</v>
      </c>
      <c r="G29" s="7">
        <v>472.74</v>
      </c>
      <c r="H29" s="3" t="s">
        <v>2437</v>
      </c>
      <c r="I29" s="3" t="s">
        <v>3066</v>
      </c>
      <c r="J29" s="3" t="s">
        <v>3070</v>
      </c>
      <c r="K29" s="3" t="s">
        <v>3102</v>
      </c>
      <c r="L29" s="3">
        <v>6</v>
      </c>
      <c r="M29" s="10" t="s">
        <v>4277</v>
      </c>
      <c r="N29" s="3" t="s">
        <v>4282</v>
      </c>
      <c r="O29" s="7">
        <v>472.74</v>
      </c>
      <c r="P29" s="3">
        <f t="shared" si="0"/>
        <v>472.74</v>
      </c>
      <c r="Q29" s="9" t="s">
        <v>4286</v>
      </c>
    </row>
    <row r="30" spans="1:17" x14ac:dyDescent="0.35">
      <c r="A30" t="s">
        <v>42</v>
      </c>
      <c r="B30" s="5">
        <v>45251</v>
      </c>
      <c r="C30" t="s">
        <v>1242</v>
      </c>
      <c r="D30" s="1" t="str">
        <f t="shared" si="2"/>
        <v>Desk</v>
      </c>
      <c r="E30" t="s">
        <v>2404</v>
      </c>
      <c r="F30">
        <v>4</v>
      </c>
      <c r="G30" s="7">
        <v>160.07</v>
      </c>
      <c r="H30" s="3" t="s">
        <v>2438</v>
      </c>
      <c r="I30" s="3" t="s">
        <v>3066</v>
      </c>
      <c r="J30" s="3" t="s">
        <v>3074</v>
      </c>
      <c r="K30" s="3" t="s">
        <v>3103</v>
      </c>
      <c r="L30" s="3">
        <v>5</v>
      </c>
      <c r="N30" s="3" t="s">
        <v>4280</v>
      </c>
      <c r="O30" s="7">
        <v>640.28</v>
      </c>
      <c r="P30" s="3">
        <f t="shared" si="0"/>
        <v>640.28</v>
      </c>
      <c r="Q30" s="9" t="s">
        <v>4286</v>
      </c>
    </row>
    <row r="31" spans="1:17" x14ac:dyDescent="0.35">
      <c r="A31" t="s">
        <v>43</v>
      </c>
      <c r="B31" s="5">
        <v>45555</v>
      </c>
      <c r="C31" t="s">
        <v>1243</v>
      </c>
      <c r="D31" s="1" t="str">
        <f t="shared" si="2"/>
        <v>Monitor</v>
      </c>
      <c r="E31" t="s">
        <v>2409</v>
      </c>
      <c r="F31">
        <v>3</v>
      </c>
      <c r="G31" s="7">
        <v>423.53</v>
      </c>
      <c r="H31" s="3" t="s">
        <v>2439</v>
      </c>
      <c r="I31" s="3" t="s">
        <v>3067</v>
      </c>
      <c r="J31" s="3" t="s">
        <v>3073</v>
      </c>
      <c r="K31" s="3" t="s">
        <v>3104</v>
      </c>
      <c r="L31" s="3">
        <v>6</v>
      </c>
      <c r="M31" s="10" t="s">
        <v>4275</v>
      </c>
      <c r="N31" s="3" t="s">
        <v>4279</v>
      </c>
      <c r="O31" s="7">
        <v>1270.5899999999999</v>
      </c>
      <c r="P31" s="3">
        <f t="shared" si="0"/>
        <v>1270.5899999999999</v>
      </c>
      <c r="Q31" s="9" t="s">
        <v>4286</v>
      </c>
    </row>
    <row r="32" spans="1:17" x14ac:dyDescent="0.35">
      <c r="A32" t="s">
        <v>44</v>
      </c>
      <c r="B32" s="5">
        <v>45738</v>
      </c>
      <c r="C32" t="s">
        <v>1244</v>
      </c>
      <c r="D32" s="1" t="str">
        <f t="shared" si="2"/>
        <v>Chair</v>
      </c>
      <c r="E32" t="s">
        <v>2403</v>
      </c>
      <c r="F32">
        <v>2</v>
      </c>
      <c r="G32" s="7">
        <v>426.7</v>
      </c>
      <c r="H32" s="3" t="s">
        <v>2440</v>
      </c>
      <c r="I32" s="3" t="s">
        <v>3066</v>
      </c>
      <c r="J32" s="3" t="s">
        <v>3074</v>
      </c>
      <c r="K32" s="3" t="s">
        <v>3105</v>
      </c>
      <c r="L32" s="3">
        <v>5</v>
      </c>
      <c r="M32" s="10" t="s">
        <v>4275</v>
      </c>
      <c r="N32" s="3" t="s">
        <v>4279</v>
      </c>
      <c r="O32" s="7">
        <v>853.4</v>
      </c>
      <c r="P32" s="3">
        <f t="shared" si="0"/>
        <v>853.4</v>
      </c>
      <c r="Q32" s="9" t="s">
        <v>4286</v>
      </c>
    </row>
    <row r="33" spans="1:17" x14ac:dyDescent="0.35">
      <c r="A33" t="s">
        <v>45</v>
      </c>
      <c r="B33" s="5">
        <v>45107</v>
      </c>
      <c r="C33" t="s">
        <v>1245</v>
      </c>
      <c r="D33" s="1" t="str">
        <f t="shared" si="2"/>
        <v>Tablet</v>
      </c>
      <c r="E33" t="s">
        <v>2406</v>
      </c>
      <c r="F33">
        <v>3</v>
      </c>
      <c r="G33" s="7">
        <v>500.08</v>
      </c>
      <c r="H33" s="3" t="s">
        <v>2441</v>
      </c>
      <c r="I33" s="3" t="s">
        <v>3065</v>
      </c>
      <c r="J33" s="3" t="s">
        <v>3072</v>
      </c>
      <c r="K33" s="3" t="s">
        <v>3106</v>
      </c>
      <c r="L33" s="3">
        <v>6</v>
      </c>
      <c r="N33" s="3" t="s">
        <v>4281</v>
      </c>
      <c r="O33" s="7">
        <v>1500.24</v>
      </c>
      <c r="P33" s="3">
        <f t="shared" si="0"/>
        <v>1500.24</v>
      </c>
      <c r="Q33" s="9" t="s">
        <v>4286</v>
      </c>
    </row>
    <row r="34" spans="1:17" x14ac:dyDescent="0.35">
      <c r="A34" t="s">
        <v>46</v>
      </c>
      <c r="B34" s="5">
        <v>45047</v>
      </c>
      <c r="C34" t="s">
        <v>1246</v>
      </c>
      <c r="D34" s="1" t="str">
        <f t="shared" si="2"/>
        <v>Chair</v>
      </c>
      <c r="E34" t="s">
        <v>2405</v>
      </c>
      <c r="F34">
        <v>5</v>
      </c>
      <c r="G34" s="7">
        <v>536.72</v>
      </c>
      <c r="H34" s="3" t="s">
        <v>2442</v>
      </c>
      <c r="I34" s="3" t="s">
        <v>3069</v>
      </c>
      <c r="J34" s="3" t="s">
        <v>3073</v>
      </c>
      <c r="K34" s="3" t="s">
        <v>3107</v>
      </c>
      <c r="L34" s="3">
        <v>10</v>
      </c>
      <c r="N34" s="3" t="s">
        <v>4280</v>
      </c>
      <c r="O34" s="7">
        <v>2683.6</v>
      </c>
      <c r="P34" s="3">
        <f t="shared" si="0"/>
        <v>2683.6000000000004</v>
      </c>
      <c r="Q34" s="9" t="s">
        <v>4286</v>
      </c>
    </row>
    <row r="35" spans="1:17" x14ac:dyDescent="0.35">
      <c r="A35" t="s">
        <v>47</v>
      </c>
      <c r="B35" s="5">
        <v>45082</v>
      </c>
      <c r="C35" t="s">
        <v>1247</v>
      </c>
      <c r="D35" s="1" t="str">
        <f t="shared" si="2"/>
        <v>Chair</v>
      </c>
      <c r="E35" t="s">
        <v>2406</v>
      </c>
      <c r="F35">
        <v>1</v>
      </c>
      <c r="G35" s="7">
        <v>162.77000000000001</v>
      </c>
      <c r="H35" s="3" t="s">
        <v>2443</v>
      </c>
      <c r="I35" s="3" t="s">
        <v>3066</v>
      </c>
      <c r="J35" s="3" t="s">
        <v>3071</v>
      </c>
      <c r="K35" s="3" t="s">
        <v>3108</v>
      </c>
      <c r="L35" s="3">
        <v>4</v>
      </c>
      <c r="M35" s="10" t="s">
        <v>4277</v>
      </c>
      <c r="N35" s="3" t="s">
        <v>4281</v>
      </c>
      <c r="O35" s="7">
        <v>162.77000000000001</v>
      </c>
      <c r="P35" s="3">
        <f t="shared" si="0"/>
        <v>162.77000000000001</v>
      </c>
      <c r="Q35" s="9" t="s">
        <v>4286</v>
      </c>
    </row>
    <row r="36" spans="1:17" x14ac:dyDescent="0.35">
      <c r="A36" t="s">
        <v>48</v>
      </c>
      <c r="B36" s="5">
        <v>44933</v>
      </c>
      <c r="C36" t="s">
        <v>1248</v>
      </c>
      <c r="D36" s="1" t="str">
        <f t="shared" si="2"/>
        <v>Monitor</v>
      </c>
      <c r="E36" t="s">
        <v>2406</v>
      </c>
      <c r="F36">
        <v>4</v>
      </c>
      <c r="G36" s="7">
        <v>576.52</v>
      </c>
      <c r="H36" s="3" t="s">
        <v>2444</v>
      </c>
      <c r="I36" s="3" t="s">
        <v>3067</v>
      </c>
      <c r="J36" s="3" t="s">
        <v>3074</v>
      </c>
      <c r="K36" s="3" t="s">
        <v>3109</v>
      </c>
      <c r="L36" s="3">
        <v>5</v>
      </c>
      <c r="M36" s="10" t="s">
        <v>4277</v>
      </c>
      <c r="N36" s="3" t="s">
        <v>4281</v>
      </c>
      <c r="O36" s="7">
        <v>2306.08</v>
      </c>
      <c r="P36" s="3">
        <f t="shared" si="0"/>
        <v>2306.08</v>
      </c>
      <c r="Q36" s="9" t="s">
        <v>4286</v>
      </c>
    </row>
    <row r="37" spans="1:17" x14ac:dyDescent="0.35">
      <c r="A37" t="s">
        <v>49</v>
      </c>
      <c r="B37" s="5">
        <v>45633</v>
      </c>
      <c r="C37" t="s">
        <v>1249</v>
      </c>
      <c r="D37" s="1" t="str">
        <f t="shared" si="2"/>
        <v>Laptop</v>
      </c>
      <c r="E37" t="s">
        <v>2403</v>
      </c>
      <c r="F37">
        <v>2</v>
      </c>
      <c r="G37" s="7">
        <v>465.15</v>
      </c>
      <c r="H37" s="3" t="s">
        <v>2445</v>
      </c>
      <c r="I37" s="3" t="s">
        <v>3066</v>
      </c>
      <c r="J37" s="3" t="s">
        <v>3070</v>
      </c>
      <c r="K37" s="3" t="s">
        <v>3110</v>
      </c>
      <c r="L37" s="3">
        <v>2</v>
      </c>
      <c r="M37" s="10" t="s">
        <v>4275</v>
      </c>
      <c r="N37" s="3" t="s">
        <v>4281</v>
      </c>
      <c r="O37" s="7">
        <v>930.3</v>
      </c>
      <c r="P37" s="3">
        <f t="shared" si="0"/>
        <v>930.3</v>
      </c>
      <c r="Q37" s="9" t="s">
        <v>4286</v>
      </c>
    </row>
    <row r="38" spans="1:17" x14ac:dyDescent="0.35">
      <c r="A38" t="s">
        <v>50</v>
      </c>
      <c r="B38" s="5">
        <v>45785</v>
      </c>
      <c r="C38" t="s">
        <v>1250</v>
      </c>
      <c r="D38" s="1" t="str">
        <f t="shared" si="2"/>
        <v>Laptop</v>
      </c>
      <c r="E38" t="s">
        <v>2408</v>
      </c>
      <c r="F38">
        <v>2</v>
      </c>
      <c r="G38" s="7">
        <v>534.42999999999995</v>
      </c>
      <c r="H38" s="3" t="s">
        <v>2446</v>
      </c>
      <c r="I38" s="3" t="s">
        <v>3065</v>
      </c>
      <c r="J38" s="3" t="s">
        <v>3074</v>
      </c>
      <c r="K38" s="3" t="s">
        <v>3111</v>
      </c>
      <c r="L38" s="3">
        <v>5</v>
      </c>
      <c r="N38" s="3" t="s">
        <v>4281</v>
      </c>
      <c r="O38" s="7">
        <v>1068.8599999999999</v>
      </c>
      <c r="P38" s="3">
        <f t="shared" si="0"/>
        <v>1068.8599999999999</v>
      </c>
      <c r="Q38" s="9" t="s">
        <v>4286</v>
      </c>
    </row>
    <row r="39" spans="1:17" x14ac:dyDescent="0.35">
      <c r="A39" t="s">
        <v>51</v>
      </c>
      <c r="B39" s="5">
        <v>45579</v>
      </c>
      <c r="C39" t="s">
        <v>1251</v>
      </c>
      <c r="D39" s="1" t="str">
        <f t="shared" si="2"/>
        <v>Laptop</v>
      </c>
      <c r="E39" t="s">
        <v>2408</v>
      </c>
      <c r="F39">
        <v>2</v>
      </c>
      <c r="G39" s="7">
        <v>76.739999999999995</v>
      </c>
      <c r="H39" s="3" t="s">
        <v>2447</v>
      </c>
      <c r="I39" s="3" t="s">
        <v>3069</v>
      </c>
      <c r="J39" s="3" t="s">
        <v>3072</v>
      </c>
      <c r="K39" s="3" t="s">
        <v>3112</v>
      </c>
      <c r="L39" s="3">
        <v>7</v>
      </c>
      <c r="M39" s="10" t="s">
        <v>4275</v>
      </c>
      <c r="N39" s="3" t="s">
        <v>4278</v>
      </c>
      <c r="O39" s="7">
        <v>153.47999999999999</v>
      </c>
      <c r="P39" s="3">
        <f t="shared" si="0"/>
        <v>153.47999999999999</v>
      </c>
      <c r="Q39" s="9" t="s">
        <v>4286</v>
      </c>
    </row>
    <row r="40" spans="1:17" x14ac:dyDescent="0.35">
      <c r="A40" t="s">
        <v>52</v>
      </c>
      <c r="B40" s="5">
        <v>45645</v>
      </c>
      <c r="C40" t="s">
        <v>1252</v>
      </c>
      <c r="D40" s="1" t="str">
        <f t="shared" si="2"/>
        <v>Printer</v>
      </c>
      <c r="E40" t="s">
        <v>2408</v>
      </c>
      <c r="F40">
        <v>1</v>
      </c>
      <c r="G40" s="7">
        <v>245.89</v>
      </c>
      <c r="H40" s="3" t="s">
        <v>2448</v>
      </c>
      <c r="I40" s="3" t="s">
        <v>3065</v>
      </c>
      <c r="J40" s="3" t="s">
        <v>3073</v>
      </c>
      <c r="K40" s="3" t="s">
        <v>3113</v>
      </c>
      <c r="L40" s="3">
        <v>3</v>
      </c>
      <c r="M40" s="10" t="s">
        <v>4275</v>
      </c>
      <c r="N40" s="3" t="s">
        <v>4282</v>
      </c>
      <c r="O40" s="7">
        <v>245.89</v>
      </c>
      <c r="P40" s="3">
        <f t="shared" si="0"/>
        <v>245.89</v>
      </c>
      <c r="Q40" s="9" t="s">
        <v>4286</v>
      </c>
    </row>
    <row r="41" spans="1:17" x14ac:dyDescent="0.35">
      <c r="A41" t="s">
        <v>53</v>
      </c>
      <c r="B41" s="5">
        <v>45715</v>
      </c>
      <c r="C41" t="s">
        <v>1253</v>
      </c>
      <c r="D41" s="1" t="str">
        <f t="shared" si="2"/>
        <v>Desk</v>
      </c>
      <c r="E41" t="s">
        <v>2407</v>
      </c>
      <c r="F41">
        <v>3</v>
      </c>
      <c r="G41" s="7">
        <v>256.45999999999998</v>
      </c>
      <c r="H41" s="3" t="s">
        <v>2449</v>
      </c>
      <c r="I41" s="3" t="s">
        <v>3067</v>
      </c>
      <c r="J41" s="3" t="s">
        <v>3073</v>
      </c>
      <c r="K41" s="3" t="s">
        <v>3114</v>
      </c>
      <c r="L41" s="3">
        <v>4</v>
      </c>
      <c r="M41" s="10" t="s">
        <v>4275</v>
      </c>
      <c r="N41" s="3" t="s">
        <v>4279</v>
      </c>
      <c r="O41" s="7">
        <v>769.37999999999988</v>
      </c>
      <c r="P41" s="3">
        <f t="shared" si="0"/>
        <v>769.37999999999988</v>
      </c>
      <c r="Q41" s="9" t="s">
        <v>4286</v>
      </c>
    </row>
    <row r="42" spans="1:17" x14ac:dyDescent="0.35">
      <c r="A42" t="s">
        <v>54</v>
      </c>
      <c r="B42" s="5">
        <v>45158</v>
      </c>
      <c r="C42" t="s">
        <v>1254</v>
      </c>
      <c r="D42" s="1" t="str">
        <f t="shared" si="2"/>
        <v>Monitor</v>
      </c>
      <c r="E42" t="s">
        <v>2409</v>
      </c>
      <c r="F42">
        <v>2</v>
      </c>
      <c r="G42" s="7">
        <v>344.02</v>
      </c>
      <c r="H42" s="3" t="s">
        <v>2450</v>
      </c>
      <c r="I42" s="3" t="s">
        <v>3066</v>
      </c>
      <c r="J42" s="3" t="s">
        <v>3073</v>
      </c>
      <c r="K42" s="3" t="s">
        <v>3115</v>
      </c>
      <c r="L42" s="3">
        <v>4</v>
      </c>
      <c r="M42" s="10" t="s">
        <v>4276</v>
      </c>
      <c r="N42" s="3" t="s">
        <v>4278</v>
      </c>
      <c r="O42" s="7">
        <v>688.04</v>
      </c>
      <c r="P42" s="3">
        <f t="shared" si="0"/>
        <v>688.04</v>
      </c>
      <c r="Q42" s="9" t="s">
        <v>4286</v>
      </c>
    </row>
    <row r="43" spans="1:17" x14ac:dyDescent="0.35">
      <c r="A43" t="s">
        <v>55</v>
      </c>
      <c r="B43" s="5">
        <v>45265</v>
      </c>
      <c r="C43" t="s">
        <v>1255</v>
      </c>
      <c r="D43" s="1" t="str">
        <f t="shared" si="2"/>
        <v>Printer</v>
      </c>
      <c r="E43" t="s">
        <v>2403</v>
      </c>
      <c r="F43">
        <v>3</v>
      </c>
      <c r="G43" s="7">
        <v>611.45000000000005</v>
      </c>
      <c r="H43" s="3" t="s">
        <v>2451</v>
      </c>
      <c r="I43" s="3" t="s">
        <v>3068</v>
      </c>
      <c r="J43" s="3" t="s">
        <v>3074</v>
      </c>
      <c r="K43" s="3" t="s">
        <v>3116</v>
      </c>
      <c r="L43" s="3">
        <v>4</v>
      </c>
      <c r="M43" s="10" t="s">
        <v>4276</v>
      </c>
      <c r="N43" s="3" t="s">
        <v>4278</v>
      </c>
      <c r="O43" s="7">
        <v>1834.35</v>
      </c>
      <c r="P43" s="3">
        <f t="shared" si="0"/>
        <v>1834.3500000000001</v>
      </c>
      <c r="Q43" s="9" t="s">
        <v>4286</v>
      </c>
    </row>
    <row r="44" spans="1:17" x14ac:dyDescent="0.35">
      <c r="A44" t="s">
        <v>56</v>
      </c>
      <c r="B44" s="5">
        <v>45418</v>
      </c>
      <c r="C44" t="s">
        <v>1256</v>
      </c>
      <c r="D44" s="1" t="str">
        <f t="shared" si="2"/>
        <v>Chair</v>
      </c>
      <c r="E44" t="s">
        <v>2407</v>
      </c>
      <c r="F44">
        <v>2</v>
      </c>
      <c r="G44" s="7">
        <v>151.66</v>
      </c>
      <c r="H44" s="3" t="s">
        <v>2424</v>
      </c>
      <c r="I44" s="3" t="s">
        <v>3069</v>
      </c>
      <c r="J44" s="3" t="s">
        <v>3071</v>
      </c>
      <c r="K44" s="3" t="s">
        <v>3117</v>
      </c>
      <c r="L44" s="3">
        <v>6</v>
      </c>
      <c r="N44" s="3" t="s">
        <v>4278</v>
      </c>
      <c r="O44" s="7">
        <v>303.32</v>
      </c>
      <c r="P44" s="3">
        <f t="shared" si="0"/>
        <v>303.32</v>
      </c>
      <c r="Q44" s="9" t="s">
        <v>4286</v>
      </c>
    </row>
    <row r="45" spans="1:17" x14ac:dyDescent="0.35">
      <c r="A45" t="s">
        <v>57</v>
      </c>
      <c r="B45" s="5">
        <v>45274</v>
      </c>
      <c r="C45" t="s">
        <v>1257</v>
      </c>
      <c r="D45" s="1" t="str">
        <f t="shared" si="2"/>
        <v>Phone</v>
      </c>
      <c r="E45" t="s">
        <v>2406</v>
      </c>
      <c r="F45">
        <v>3</v>
      </c>
      <c r="G45" s="7">
        <v>499.21</v>
      </c>
      <c r="H45" s="3" t="s">
        <v>2452</v>
      </c>
      <c r="I45" s="3" t="s">
        <v>3066</v>
      </c>
      <c r="J45" s="3" t="s">
        <v>3071</v>
      </c>
      <c r="K45" s="3" t="s">
        <v>3118</v>
      </c>
      <c r="L45" s="3">
        <v>8</v>
      </c>
      <c r="N45" s="3" t="s">
        <v>4278</v>
      </c>
      <c r="O45" s="7">
        <v>1497.63</v>
      </c>
      <c r="P45" s="3">
        <f t="shared" si="0"/>
        <v>1497.6299999999999</v>
      </c>
      <c r="Q45" s="9" t="s">
        <v>4286</v>
      </c>
    </row>
    <row r="46" spans="1:17" x14ac:dyDescent="0.35">
      <c r="A46" t="s">
        <v>58</v>
      </c>
      <c r="B46" s="5">
        <v>45768</v>
      </c>
      <c r="C46" t="s">
        <v>1258</v>
      </c>
      <c r="D46" s="1" t="str">
        <f t="shared" si="2"/>
        <v>Chair</v>
      </c>
      <c r="E46" t="s">
        <v>2404</v>
      </c>
      <c r="F46">
        <v>2</v>
      </c>
      <c r="G46" s="7">
        <v>550.17999999999995</v>
      </c>
      <c r="H46" s="3" t="s">
        <v>2441</v>
      </c>
      <c r="I46" s="3" t="s">
        <v>3068</v>
      </c>
      <c r="J46" s="3" t="s">
        <v>3072</v>
      </c>
      <c r="K46" s="3" t="s">
        <v>3119</v>
      </c>
      <c r="L46" s="3">
        <v>3</v>
      </c>
      <c r="M46" s="10" t="s">
        <v>4276</v>
      </c>
      <c r="N46" s="3" t="s">
        <v>4279</v>
      </c>
      <c r="O46" s="7">
        <v>1100.3599999999999</v>
      </c>
      <c r="P46" s="3">
        <f t="shared" si="0"/>
        <v>1100.3599999999999</v>
      </c>
    </row>
    <row r="47" spans="1:17" x14ac:dyDescent="0.35">
      <c r="A47" t="s">
        <v>59</v>
      </c>
      <c r="B47" s="5">
        <v>45332</v>
      </c>
      <c r="C47" t="s">
        <v>1259</v>
      </c>
      <c r="D47" s="1" t="str">
        <f t="shared" si="2"/>
        <v>Monitor</v>
      </c>
      <c r="E47" t="s">
        <v>2406</v>
      </c>
      <c r="F47">
        <v>1</v>
      </c>
      <c r="G47" s="7">
        <v>317.25</v>
      </c>
      <c r="H47" s="3" t="s">
        <v>2453</v>
      </c>
      <c r="I47" s="3" t="s">
        <v>3065</v>
      </c>
      <c r="J47" s="3" t="s">
        <v>3072</v>
      </c>
      <c r="K47" s="3" t="s">
        <v>3120</v>
      </c>
      <c r="L47" s="3">
        <v>1</v>
      </c>
      <c r="M47" s="10" t="s">
        <v>4275</v>
      </c>
      <c r="N47" s="3" t="s">
        <v>4281</v>
      </c>
      <c r="O47" s="7">
        <v>317.25</v>
      </c>
      <c r="P47" s="3">
        <f t="shared" si="0"/>
        <v>317.25</v>
      </c>
    </row>
    <row r="48" spans="1:17" x14ac:dyDescent="0.35">
      <c r="A48" t="s">
        <v>60</v>
      </c>
      <c r="B48" s="5">
        <v>45469</v>
      </c>
      <c r="C48" t="s">
        <v>1260</v>
      </c>
      <c r="D48" s="1" t="str">
        <f t="shared" si="2"/>
        <v>Desk</v>
      </c>
      <c r="E48" t="s">
        <v>2403</v>
      </c>
      <c r="F48">
        <v>4</v>
      </c>
      <c r="G48" s="7">
        <v>550.14</v>
      </c>
      <c r="H48" s="3" t="s">
        <v>2454</v>
      </c>
      <c r="I48" s="3" t="s">
        <v>3065</v>
      </c>
      <c r="J48" s="3" t="s">
        <v>3074</v>
      </c>
      <c r="K48" s="3" t="s">
        <v>3121</v>
      </c>
      <c r="L48" s="3">
        <v>4</v>
      </c>
      <c r="M48" s="10" t="s">
        <v>4276</v>
      </c>
      <c r="N48" s="3" t="s">
        <v>4278</v>
      </c>
      <c r="O48" s="7">
        <v>2200.56</v>
      </c>
      <c r="P48" s="3">
        <f t="shared" si="0"/>
        <v>2200.56</v>
      </c>
    </row>
    <row r="49" spans="1:16" x14ac:dyDescent="0.35">
      <c r="A49" t="s">
        <v>61</v>
      </c>
      <c r="B49" s="5">
        <v>45126</v>
      </c>
      <c r="C49" t="s">
        <v>1261</v>
      </c>
      <c r="D49" s="1" t="str">
        <f t="shared" si="2"/>
        <v>Monitor</v>
      </c>
      <c r="E49" t="s">
        <v>2409</v>
      </c>
      <c r="F49">
        <v>2</v>
      </c>
      <c r="G49" s="7">
        <v>209.94</v>
      </c>
      <c r="H49" s="3" t="s">
        <v>2455</v>
      </c>
      <c r="I49" s="3" t="s">
        <v>3067</v>
      </c>
      <c r="J49" s="3" t="s">
        <v>3072</v>
      </c>
      <c r="K49" s="3" t="s">
        <v>3122</v>
      </c>
      <c r="L49" s="3">
        <v>3</v>
      </c>
      <c r="M49" s="10" t="s">
        <v>4276</v>
      </c>
      <c r="N49" s="3" t="s">
        <v>4280</v>
      </c>
      <c r="O49" s="7">
        <v>419.88</v>
      </c>
      <c r="P49" s="3">
        <f t="shared" si="0"/>
        <v>419.88</v>
      </c>
    </row>
    <row r="50" spans="1:16" x14ac:dyDescent="0.35">
      <c r="A50" t="s">
        <v>62</v>
      </c>
      <c r="B50" s="5">
        <v>45164</v>
      </c>
      <c r="C50" t="s">
        <v>1262</v>
      </c>
      <c r="D50" s="1" t="str">
        <f t="shared" si="2"/>
        <v>Printer</v>
      </c>
      <c r="E50" t="s">
        <v>2403</v>
      </c>
      <c r="F50">
        <v>2</v>
      </c>
      <c r="G50" s="7">
        <v>80.77</v>
      </c>
      <c r="H50" s="3" t="s">
        <v>2456</v>
      </c>
      <c r="I50" s="3" t="s">
        <v>3065</v>
      </c>
      <c r="J50" s="3" t="s">
        <v>3070</v>
      </c>
      <c r="K50" s="3" t="s">
        <v>3123</v>
      </c>
      <c r="L50" s="3">
        <v>4</v>
      </c>
      <c r="N50" s="3" t="s">
        <v>4282</v>
      </c>
      <c r="O50" s="7">
        <v>161.54</v>
      </c>
      <c r="P50" s="3">
        <f t="shared" si="0"/>
        <v>161.54</v>
      </c>
    </row>
    <row r="51" spans="1:16" x14ac:dyDescent="0.35">
      <c r="A51" t="s">
        <v>63</v>
      </c>
      <c r="B51" s="5">
        <v>45206</v>
      </c>
      <c r="C51" t="s">
        <v>1263</v>
      </c>
      <c r="D51" s="1" t="str">
        <f t="shared" si="2"/>
        <v>Tablet</v>
      </c>
      <c r="E51" t="s">
        <v>2407</v>
      </c>
      <c r="F51">
        <v>1</v>
      </c>
      <c r="G51" s="7">
        <v>30.44</v>
      </c>
      <c r="H51" s="3" t="s">
        <v>2432</v>
      </c>
      <c r="I51" s="3" t="s">
        <v>3067</v>
      </c>
      <c r="J51" s="3" t="s">
        <v>3070</v>
      </c>
      <c r="K51" s="3" t="s">
        <v>3124</v>
      </c>
      <c r="L51" s="3">
        <v>1</v>
      </c>
      <c r="M51" s="10" t="s">
        <v>4275</v>
      </c>
      <c r="N51" s="3" t="s">
        <v>4280</v>
      </c>
      <c r="O51" s="7">
        <v>30.44</v>
      </c>
      <c r="P51" s="3">
        <f t="shared" si="0"/>
        <v>30.44</v>
      </c>
    </row>
    <row r="52" spans="1:16" x14ac:dyDescent="0.35">
      <c r="A52" t="s">
        <v>64</v>
      </c>
      <c r="B52" s="5">
        <v>45138</v>
      </c>
      <c r="C52" t="s">
        <v>1264</v>
      </c>
      <c r="D52" s="1" t="str">
        <f t="shared" si="2"/>
        <v>Tablet</v>
      </c>
      <c r="E52" t="s">
        <v>2405</v>
      </c>
      <c r="F52">
        <v>1</v>
      </c>
      <c r="G52" s="7">
        <v>179.22</v>
      </c>
      <c r="H52" s="3" t="s">
        <v>2457</v>
      </c>
      <c r="I52" s="3" t="s">
        <v>3066</v>
      </c>
      <c r="J52" s="3" t="s">
        <v>3071</v>
      </c>
      <c r="K52" s="3" t="s">
        <v>3125</v>
      </c>
      <c r="L52" s="3">
        <v>6</v>
      </c>
      <c r="M52" s="10" t="s">
        <v>4276</v>
      </c>
      <c r="N52" s="3" t="s">
        <v>4278</v>
      </c>
      <c r="O52" s="7">
        <v>179.22</v>
      </c>
      <c r="P52" s="3">
        <f t="shared" si="0"/>
        <v>179.22</v>
      </c>
    </row>
    <row r="53" spans="1:16" x14ac:dyDescent="0.35">
      <c r="A53" t="s">
        <v>65</v>
      </c>
      <c r="B53" s="5">
        <v>45656</v>
      </c>
      <c r="C53" t="s">
        <v>1265</v>
      </c>
      <c r="D53" s="1" t="str">
        <f t="shared" si="2"/>
        <v>Tablet</v>
      </c>
      <c r="E53" t="s">
        <v>2405</v>
      </c>
      <c r="F53">
        <v>1</v>
      </c>
      <c r="G53" s="7">
        <v>388.33</v>
      </c>
      <c r="H53" s="3" t="s">
        <v>2458</v>
      </c>
      <c r="I53" s="3" t="s">
        <v>3069</v>
      </c>
      <c r="J53" s="3" t="s">
        <v>3072</v>
      </c>
      <c r="K53" s="3" t="s">
        <v>3126</v>
      </c>
      <c r="L53" s="3">
        <v>2</v>
      </c>
      <c r="M53" s="10" t="s">
        <v>4275</v>
      </c>
      <c r="N53" s="3" t="s">
        <v>4281</v>
      </c>
      <c r="O53" s="7">
        <v>388.33</v>
      </c>
      <c r="P53" s="3">
        <f t="shared" si="0"/>
        <v>388.33</v>
      </c>
    </row>
    <row r="54" spans="1:16" x14ac:dyDescent="0.35">
      <c r="A54" t="s">
        <v>66</v>
      </c>
      <c r="B54" s="5">
        <v>45543</v>
      </c>
      <c r="C54" t="s">
        <v>1266</v>
      </c>
      <c r="D54" s="1" t="str">
        <f t="shared" si="2"/>
        <v>Phone</v>
      </c>
      <c r="E54" t="s">
        <v>2405</v>
      </c>
      <c r="F54">
        <v>1</v>
      </c>
      <c r="G54" s="7">
        <v>586.44000000000005</v>
      </c>
      <c r="H54" s="3" t="s">
        <v>2459</v>
      </c>
      <c r="I54" s="3" t="s">
        <v>3066</v>
      </c>
      <c r="J54" s="3" t="s">
        <v>3072</v>
      </c>
      <c r="K54" s="3" t="s">
        <v>3127</v>
      </c>
      <c r="L54" s="3">
        <v>5</v>
      </c>
      <c r="M54" s="10" t="s">
        <v>4275</v>
      </c>
      <c r="N54" s="3" t="s">
        <v>4281</v>
      </c>
      <c r="O54" s="7">
        <v>586.44000000000005</v>
      </c>
      <c r="P54" s="3">
        <f t="shared" si="0"/>
        <v>586.44000000000005</v>
      </c>
    </row>
    <row r="55" spans="1:16" x14ac:dyDescent="0.35">
      <c r="A55" t="s">
        <v>67</v>
      </c>
      <c r="B55" s="5">
        <v>45430</v>
      </c>
      <c r="C55" t="s">
        <v>1267</v>
      </c>
      <c r="D55" s="1" t="str">
        <f t="shared" si="2"/>
        <v>Chair</v>
      </c>
      <c r="E55" t="s">
        <v>2404</v>
      </c>
      <c r="F55">
        <v>4</v>
      </c>
      <c r="G55" s="7">
        <v>488.78</v>
      </c>
      <c r="H55" s="3" t="s">
        <v>2412</v>
      </c>
      <c r="I55" s="3" t="s">
        <v>3066</v>
      </c>
      <c r="J55" s="3" t="s">
        <v>3072</v>
      </c>
      <c r="K55" s="3" t="s">
        <v>3128</v>
      </c>
      <c r="L55" s="3">
        <v>5</v>
      </c>
      <c r="M55" s="10" t="s">
        <v>4276</v>
      </c>
      <c r="N55" s="3" t="s">
        <v>4282</v>
      </c>
      <c r="O55" s="7">
        <v>1955.12</v>
      </c>
      <c r="P55" s="3">
        <f t="shared" si="0"/>
        <v>1955.12</v>
      </c>
    </row>
    <row r="56" spans="1:16" x14ac:dyDescent="0.35">
      <c r="A56" t="s">
        <v>68</v>
      </c>
      <c r="B56" s="5">
        <v>45743</v>
      </c>
      <c r="C56" t="s">
        <v>1268</v>
      </c>
      <c r="D56" s="1" t="str">
        <f t="shared" si="2"/>
        <v>Printer</v>
      </c>
      <c r="E56" t="s">
        <v>2406</v>
      </c>
      <c r="F56">
        <v>1</v>
      </c>
      <c r="G56" s="7">
        <v>280.25</v>
      </c>
      <c r="H56" s="3" t="s">
        <v>2460</v>
      </c>
      <c r="I56" s="3" t="s">
        <v>3066</v>
      </c>
      <c r="J56" s="3" t="s">
        <v>3074</v>
      </c>
      <c r="K56" s="3" t="s">
        <v>3129</v>
      </c>
      <c r="L56" s="3">
        <v>5</v>
      </c>
      <c r="M56" s="10" t="s">
        <v>4277</v>
      </c>
      <c r="N56" s="3" t="s">
        <v>4280</v>
      </c>
      <c r="O56" s="7">
        <v>280.25</v>
      </c>
      <c r="P56" s="3">
        <f t="shared" si="0"/>
        <v>280.25</v>
      </c>
    </row>
    <row r="57" spans="1:16" x14ac:dyDescent="0.35">
      <c r="A57" t="s">
        <v>69</v>
      </c>
      <c r="B57" s="5">
        <v>45832</v>
      </c>
      <c r="C57" t="s">
        <v>1269</v>
      </c>
      <c r="D57" s="1" t="str">
        <f t="shared" si="2"/>
        <v>Tablet</v>
      </c>
      <c r="E57" t="s">
        <v>2407</v>
      </c>
      <c r="F57">
        <v>3</v>
      </c>
      <c r="G57" s="7">
        <v>344.4</v>
      </c>
      <c r="H57" s="3" t="s">
        <v>2461</v>
      </c>
      <c r="I57" s="3" t="s">
        <v>3066</v>
      </c>
      <c r="J57" s="3" t="s">
        <v>3071</v>
      </c>
      <c r="K57" s="3" t="s">
        <v>3130</v>
      </c>
      <c r="L57" s="3">
        <v>3</v>
      </c>
      <c r="N57" s="3" t="s">
        <v>4281</v>
      </c>
      <c r="O57" s="7">
        <v>1033.2</v>
      </c>
      <c r="P57" s="3">
        <f t="shared" si="0"/>
        <v>1033.1999999999998</v>
      </c>
    </row>
    <row r="58" spans="1:16" x14ac:dyDescent="0.35">
      <c r="A58" t="s">
        <v>70</v>
      </c>
      <c r="B58" s="5">
        <v>45067</v>
      </c>
      <c r="C58" t="s">
        <v>1270</v>
      </c>
      <c r="D58" s="1" t="str">
        <f t="shared" si="2"/>
        <v>Printer</v>
      </c>
      <c r="E58" t="s">
        <v>2405</v>
      </c>
      <c r="F58">
        <v>3</v>
      </c>
      <c r="G58" s="7">
        <v>479.21</v>
      </c>
      <c r="H58" s="3" t="s">
        <v>2462</v>
      </c>
      <c r="I58" s="3" t="s">
        <v>3069</v>
      </c>
      <c r="J58" s="3" t="s">
        <v>3071</v>
      </c>
      <c r="K58" s="3" t="s">
        <v>3131</v>
      </c>
      <c r="L58" s="3">
        <v>5</v>
      </c>
      <c r="M58" s="10" t="s">
        <v>4277</v>
      </c>
      <c r="N58" s="3" t="s">
        <v>4279</v>
      </c>
      <c r="O58" s="7">
        <v>1437.63</v>
      </c>
      <c r="P58" s="3">
        <f t="shared" si="0"/>
        <v>1437.6299999999999</v>
      </c>
    </row>
    <row r="59" spans="1:16" x14ac:dyDescent="0.35">
      <c r="A59" t="s">
        <v>71</v>
      </c>
      <c r="B59" s="5">
        <v>44948</v>
      </c>
      <c r="C59" t="s">
        <v>1271</v>
      </c>
      <c r="D59" s="1" t="str">
        <f t="shared" si="2"/>
        <v>Phone</v>
      </c>
      <c r="E59" t="s">
        <v>2407</v>
      </c>
      <c r="F59">
        <v>5</v>
      </c>
      <c r="G59" s="7">
        <v>314.27</v>
      </c>
      <c r="H59" s="3" t="s">
        <v>2463</v>
      </c>
      <c r="I59" s="3" t="s">
        <v>3069</v>
      </c>
      <c r="J59" s="3" t="s">
        <v>3072</v>
      </c>
      <c r="K59" s="3" t="s">
        <v>3132</v>
      </c>
      <c r="L59" s="3">
        <v>6</v>
      </c>
      <c r="M59" s="10" t="s">
        <v>4275</v>
      </c>
      <c r="N59" s="3" t="s">
        <v>4278</v>
      </c>
      <c r="O59" s="7">
        <v>1571.35</v>
      </c>
      <c r="P59" s="3">
        <f t="shared" si="0"/>
        <v>1571.35</v>
      </c>
    </row>
    <row r="60" spans="1:16" x14ac:dyDescent="0.35">
      <c r="A60" t="s">
        <v>72</v>
      </c>
      <c r="B60" s="5">
        <v>44941</v>
      </c>
      <c r="C60" t="s">
        <v>1272</v>
      </c>
      <c r="D60" s="1" t="str">
        <f t="shared" si="2"/>
        <v>Chair</v>
      </c>
      <c r="E60" t="s">
        <v>2404</v>
      </c>
      <c r="F60">
        <v>4</v>
      </c>
      <c r="G60" s="7">
        <v>474.69</v>
      </c>
      <c r="H60" s="3" t="s">
        <v>2464</v>
      </c>
      <c r="I60" s="3" t="s">
        <v>3068</v>
      </c>
      <c r="J60" s="3" t="s">
        <v>3071</v>
      </c>
      <c r="K60" s="3" t="s">
        <v>3133</v>
      </c>
      <c r="L60" s="3">
        <v>6</v>
      </c>
      <c r="M60" s="10" t="s">
        <v>4275</v>
      </c>
      <c r="N60" s="3" t="s">
        <v>4282</v>
      </c>
      <c r="O60" s="7">
        <v>1898.76</v>
      </c>
      <c r="P60" s="3">
        <f t="shared" si="0"/>
        <v>1898.76</v>
      </c>
    </row>
    <row r="61" spans="1:16" x14ac:dyDescent="0.35">
      <c r="A61" t="s">
        <v>73</v>
      </c>
      <c r="B61" s="5">
        <v>45546</v>
      </c>
      <c r="C61" t="s">
        <v>1273</v>
      </c>
      <c r="D61" s="1" t="str">
        <f t="shared" si="2"/>
        <v>Desk</v>
      </c>
      <c r="E61" t="s">
        <v>2406</v>
      </c>
      <c r="F61">
        <v>4</v>
      </c>
      <c r="G61" s="7">
        <v>593.27</v>
      </c>
      <c r="H61" s="3" t="s">
        <v>2465</v>
      </c>
      <c r="I61" s="3" t="s">
        <v>3066</v>
      </c>
      <c r="J61" s="3" t="s">
        <v>3070</v>
      </c>
      <c r="K61" s="3" t="s">
        <v>3134</v>
      </c>
      <c r="L61" s="3">
        <v>5</v>
      </c>
      <c r="N61" s="3" t="s">
        <v>4281</v>
      </c>
      <c r="O61" s="7">
        <v>2373.08</v>
      </c>
      <c r="P61" s="3">
        <f t="shared" si="0"/>
        <v>2373.08</v>
      </c>
    </row>
    <row r="62" spans="1:16" x14ac:dyDescent="0.35">
      <c r="A62" t="s">
        <v>74</v>
      </c>
      <c r="B62" s="5">
        <v>45525</v>
      </c>
      <c r="C62" t="s">
        <v>1274</v>
      </c>
      <c r="D62" s="1" t="str">
        <f t="shared" si="2"/>
        <v>Desk</v>
      </c>
      <c r="E62" t="s">
        <v>2409</v>
      </c>
      <c r="F62">
        <v>1</v>
      </c>
      <c r="G62" s="7">
        <v>417.1</v>
      </c>
      <c r="H62" s="3" t="s">
        <v>2466</v>
      </c>
      <c r="I62" s="3" t="s">
        <v>3065</v>
      </c>
      <c r="J62" s="3" t="s">
        <v>3072</v>
      </c>
      <c r="K62" s="3" t="s">
        <v>3135</v>
      </c>
      <c r="L62" s="3">
        <v>3</v>
      </c>
      <c r="M62" s="10" t="s">
        <v>4276</v>
      </c>
      <c r="N62" s="3" t="s">
        <v>4279</v>
      </c>
      <c r="O62" s="7">
        <v>417.1</v>
      </c>
      <c r="P62" s="3">
        <f t="shared" si="0"/>
        <v>417.1</v>
      </c>
    </row>
    <row r="63" spans="1:16" x14ac:dyDescent="0.35">
      <c r="A63" t="s">
        <v>75</v>
      </c>
      <c r="B63" s="5">
        <v>45375</v>
      </c>
      <c r="C63" t="s">
        <v>1275</v>
      </c>
      <c r="D63" s="1" t="str">
        <f t="shared" si="2"/>
        <v>Desk</v>
      </c>
      <c r="E63" t="s">
        <v>2409</v>
      </c>
      <c r="F63">
        <v>4</v>
      </c>
      <c r="G63" s="7">
        <v>122.2</v>
      </c>
      <c r="H63" s="3" t="s">
        <v>2467</v>
      </c>
      <c r="I63" s="3" t="s">
        <v>3069</v>
      </c>
      <c r="J63" s="3" t="s">
        <v>3073</v>
      </c>
      <c r="K63" s="3" t="s">
        <v>3136</v>
      </c>
      <c r="L63" s="3">
        <v>7</v>
      </c>
      <c r="M63" s="10" t="s">
        <v>4276</v>
      </c>
      <c r="N63" s="3" t="s">
        <v>4281</v>
      </c>
      <c r="O63" s="7">
        <v>488.8</v>
      </c>
      <c r="P63" s="3">
        <f t="shared" si="0"/>
        <v>488.8</v>
      </c>
    </row>
    <row r="64" spans="1:16" x14ac:dyDescent="0.35">
      <c r="A64" t="s">
        <v>76</v>
      </c>
      <c r="B64" s="5">
        <v>45160</v>
      </c>
      <c r="C64" t="s">
        <v>1276</v>
      </c>
      <c r="D64" s="1" t="str">
        <f t="shared" si="2"/>
        <v>Chair</v>
      </c>
      <c r="E64" t="s">
        <v>2409</v>
      </c>
      <c r="F64">
        <v>2</v>
      </c>
      <c r="G64" s="7">
        <v>43.15</v>
      </c>
      <c r="H64" s="3" t="s">
        <v>2468</v>
      </c>
      <c r="I64" s="3" t="s">
        <v>3065</v>
      </c>
      <c r="J64" s="3" t="s">
        <v>3074</v>
      </c>
      <c r="K64" s="3" t="s">
        <v>3137</v>
      </c>
      <c r="L64" s="3">
        <v>3</v>
      </c>
      <c r="M64" s="10" t="s">
        <v>4277</v>
      </c>
      <c r="N64" s="3" t="s">
        <v>4280</v>
      </c>
      <c r="O64" s="7">
        <v>86.3</v>
      </c>
      <c r="P64" s="3">
        <f t="shared" si="0"/>
        <v>86.3</v>
      </c>
    </row>
    <row r="65" spans="1:16" x14ac:dyDescent="0.35">
      <c r="A65" t="s">
        <v>77</v>
      </c>
      <c r="B65" s="5">
        <v>45690</v>
      </c>
      <c r="C65" t="s">
        <v>1277</v>
      </c>
      <c r="D65" s="1" t="str">
        <f t="shared" si="2"/>
        <v>Printer</v>
      </c>
      <c r="E65" t="s">
        <v>2406</v>
      </c>
      <c r="F65">
        <v>1</v>
      </c>
      <c r="G65" s="7">
        <v>564.86</v>
      </c>
      <c r="H65" s="3" t="s">
        <v>2469</v>
      </c>
      <c r="I65" s="3" t="s">
        <v>3065</v>
      </c>
      <c r="J65" s="3" t="s">
        <v>3070</v>
      </c>
      <c r="K65" s="3" t="s">
        <v>3138</v>
      </c>
      <c r="L65" s="3">
        <v>6</v>
      </c>
      <c r="M65" s="10" t="s">
        <v>4277</v>
      </c>
      <c r="N65" s="3" t="s">
        <v>4279</v>
      </c>
      <c r="O65" s="7">
        <v>564.86</v>
      </c>
      <c r="P65" s="3">
        <f t="shared" si="0"/>
        <v>564.86</v>
      </c>
    </row>
    <row r="66" spans="1:16" x14ac:dyDescent="0.35">
      <c r="A66" t="s">
        <v>78</v>
      </c>
      <c r="B66" s="5">
        <v>45833</v>
      </c>
      <c r="C66" t="s">
        <v>1278</v>
      </c>
      <c r="D66" s="1" t="str">
        <f t="shared" ref="D66:D129" si="3">PROPER(TRIM(E67))</f>
        <v>Monitor</v>
      </c>
      <c r="E66" t="s">
        <v>2407</v>
      </c>
      <c r="F66">
        <v>3</v>
      </c>
      <c r="G66" s="7">
        <v>130.61000000000001</v>
      </c>
      <c r="H66" s="3" t="s">
        <v>2470</v>
      </c>
      <c r="I66" s="3" t="s">
        <v>3065</v>
      </c>
      <c r="J66" s="3" t="s">
        <v>3071</v>
      </c>
      <c r="K66" s="3" t="s">
        <v>3139</v>
      </c>
      <c r="L66" s="3">
        <v>4</v>
      </c>
      <c r="M66" s="10" t="s">
        <v>4276</v>
      </c>
      <c r="N66" s="3" t="s">
        <v>4281</v>
      </c>
      <c r="O66" s="7">
        <v>391.83</v>
      </c>
      <c r="P66" s="3">
        <f t="shared" si="0"/>
        <v>391.83000000000004</v>
      </c>
    </row>
    <row r="67" spans="1:16" x14ac:dyDescent="0.35">
      <c r="A67" t="s">
        <v>79</v>
      </c>
      <c r="B67" s="5">
        <v>45290</v>
      </c>
      <c r="C67" t="s">
        <v>1279</v>
      </c>
      <c r="D67" s="1" t="str">
        <f t="shared" si="3"/>
        <v>Chair</v>
      </c>
      <c r="E67" t="s">
        <v>2403</v>
      </c>
      <c r="F67">
        <v>5</v>
      </c>
      <c r="G67" s="7">
        <v>81.7</v>
      </c>
      <c r="H67" s="3" t="s">
        <v>2471</v>
      </c>
      <c r="I67" s="3" t="s">
        <v>3067</v>
      </c>
      <c r="J67" s="3" t="s">
        <v>3073</v>
      </c>
      <c r="K67" s="3" t="s">
        <v>3140</v>
      </c>
      <c r="L67" s="3">
        <v>6</v>
      </c>
      <c r="N67" s="3" t="s">
        <v>4278</v>
      </c>
      <c r="O67" s="7">
        <v>408.5</v>
      </c>
      <c r="P67" s="3">
        <f t="shared" ref="P67:P130" si="4">G67*F67</f>
        <v>408.5</v>
      </c>
    </row>
    <row r="68" spans="1:16" x14ac:dyDescent="0.35">
      <c r="A68" t="s">
        <v>80</v>
      </c>
      <c r="B68" s="5">
        <v>45611</v>
      </c>
      <c r="C68" t="s">
        <v>1280</v>
      </c>
      <c r="D68" s="1" t="str">
        <f t="shared" si="3"/>
        <v>Printer</v>
      </c>
      <c r="E68" t="s">
        <v>2406</v>
      </c>
      <c r="F68">
        <v>5</v>
      </c>
      <c r="G68" s="7">
        <v>127.18</v>
      </c>
      <c r="H68" s="3" t="s">
        <v>2472</v>
      </c>
      <c r="I68" s="3" t="s">
        <v>3069</v>
      </c>
      <c r="J68" s="3" t="s">
        <v>3071</v>
      </c>
      <c r="K68" s="3" t="s">
        <v>3141</v>
      </c>
      <c r="L68" s="3">
        <v>9</v>
      </c>
      <c r="M68" s="10" t="s">
        <v>4275</v>
      </c>
      <c r="N68" s="3" t="s">
        <v>4279</v>
      </c>
      <c r="O68" s="7">
        <v>635.90000000000009</v>
      </c>
      <c r="P68" s="3">
        <f t="shared" si="4"/>
        <v>635.90000000000009</v>
      </c>
    </row>
    <row r="69" spans="1:16" x14ac:dyDescent="0.35">
      <c r="A69" t="s">
        <v>81</v>
      </c>
      <c r="B69" s="5">
        <v>45635</v>
      </c>
      <c r="C69" t="s">
        <v>1281</v>
      </c>
      <c r="D69" s="1" t="str">
        <f t="shared" si="3"/>
        <v>Chair</v>
      </c>
      <c r="E69" t="s">
        <v>2407</v>
      </c>
      <c r="F69">
        <v>4</v>
      </c>
      <c r="G69" s="7">
        <v>12.1</v>
      </c>
      <c r="H69" s="3" t="s">
        <v>2473</v>
      </c>
      <c r="I69" s="3" t="s">
        <v>3065</v>
      </c>
      <c r="J69" s="3" t="s">
        <v>3071</v>
      </c>
      <c r="K69" s="3" t="s">
        <v>3142</v>
      </c>
      <c r="L69" s="3">
        <v>8</v>
      </c>
      <c r="N69" s="3" t="s">
        <v>4282</v>
      </c>
      <c r="O69" s="7">
        <v>48.4</v>
      </c>
      <c r="P69" s="3">
        <f t="shared" si="4"/>
        <v>48.4</v>
      </c>
    </row>
    <row r="70" spans="1:16" x14ac:dyDescent="0.35">
      <c r="A70" t="s">
        <v>82</v>
      </c>
      <c r="B70" s="5">
        <v>45271</v>
      </c>
      <c r="C70" t="s">
        <v>1282</v>
      </c>
      <c r="D70" s="1" t="str">
        <f t="shared" si="3"/>
        <v>Monitor</v>
      </c>
      <c r="E70" t="s">
        <v>2406</v>
      </c>
      <c r="F70">
        <v>3</v>
      </c>
      <c r="G70" s="7">
        <v>490.92</v>
      </c>
      <c r="H70" s="3" t="s">
        <v>2435</v>
      </c>
      <c r="I70" s="3" t="s">
        <v>3067</v>
      </c>
      <c r="J70" s="3" t="s">
        <v>3074</v>
      </c>
      <c r="K70" s="3" t="s">
        <v>3143</v>
      </c>
      <c r="L70" s="3">
        <v>5</v>
      </c>
      <c r="M70" s="10" t="s">
        <v>4276</v>
      </c>
      <c r="N70" s="3" t="s">
        <v>4280</v>
      </c>
      <c r="O70" s="7">
        <v>1472.76</v>
      </c>
      <c r="P70" s="3">
        <f t="shared" si="4"/>
        <v>1472.76</v>
      </c>
    </row>
    <row r="71" spans="1:16" x14ac:dyDescent="0.35">
      <c r="A71" t="s">
        <v>83</v>
      </c>
      <c r="B71" s="5">
        <v>45057</v>
      </c>
      <c r="C71" t="s">
        <v>1283</v>
      </c>
      <c r="D71" s="1" t="str">
        <f t="shared" si="3"/>
        <v>Desk</v>
      </c>
      <c r="E71" t="s">
        <v>2403</v>
      </c>
      <c r="F71">
        <v>3</v>
      </c>
      <c r="G71" s="7">
        <v>478.65</v>
      </c>
      <c r="H71" s="3" t="s">
        <v>2474</v>
      </c>
      <c r="I71" s="3" t="s">
        <v>3066</v>
      </c>
      <c r="J71" s="3" t="s">
        <v>3070</v>
      </c>
      <c r="K71" s="3" t="s">
        <v>3144</v>
      </c>
      <c r="L71" s="3">
        <v>4</v>
      </c>
      <c r="N71" s="3" t="s">
        <v>4279</v>
      </c>
      <c r="O71" s="7">
        <v>1435.95</v>
      </c>
      <c r="P71" s="3">
        <f t="shared" si="4"/>
        <v>1435.9499999999998</v>
      </c>
    </row>
    <row r="72" spans="1:16" x14ac:dyDescent="0.35">
      <c r="A72" t="s">
        <v>84</v>
      </c>
      <c r="B72" s="5">
        <v>45072</v>
      </c>
      <c r="C72" t="s">
        <v>1284</v>
      </c>
      <c r="D72" s="1" t="str">
        <f t="shared" si="3"/>
        <v>Monitor</v>
      </c>
      <c r="E72" t="s">
        <v>2409</v>
      </c>
      <c r="F72">
        <v>1</v>
      </c>
      <c r="G72" s="7">
        <v>629.21</v>
      </c>
      <c r="H72" s="3" t="s">
        <v>2475</v>
      </c>
      <c r="I72" s="3" t="s">
        <v>3068</v>
      </c>
      <c r="J72" s="3" t="s">
        <v>3074</v>
      </c>
      <c r="K72" s="3" t="s">
        <v>3145</v>
      </c>
      <c r="L72" s="3">
        <v>2</v>
      </c>
      <c r="M72" s="10" t="s">
        <v>4276</v>
      </c>
      <c r="N72" s="3" t="s">
        <v>4278</v>
      </c>
      <c r="O72" s="7">
        <v>629.21</v>
      </c>
      <c r="P72" s="3">
        <f t="shared" si="4"/>
        <v>629.21</v>
      </c>
    </row>
    <row r="73" spans="1:16" x14ac:dyDescent="0.35">
      <c r="A73" t="s">
        <v>85</v>
      </c>
      <c r="B73" s="5">
        <v>45818</v>
      </c>
      <c r="C73" t="s">
        <v>1285</v>
      </c>
      <c r="D73" s="1" t="str">
        <f t="shared" si="3"/>
        <v>Tablet</v>
      </c>
      <c r="E73" t="s">
        <v>2403</v>
      </c>
      <c r="F73">
        <v>3</v>
      </c>
      <c r="G73" s="7">
        <v>434.45</v>
      </c>
      <c r="H73" s="3" t="s">
        <v>2476</v>
      </c>
      <c r="I73" s="3" t="s">
        <v>3067</v>
      </c>
      <c r="J73" s="3" t="s">
        <v>3074</v>
      </c>
      <c r="K73" s="3" t="s">
        <v>3146</v>
      </c>
      <c r="L73" s="3">
        <v>4</v>
      </c>
      <c r="N73" s="3" t="s">
        <v>4279</v>
      </c>
      <c r="O73" s="7">
        <v>1303.3499999999999</v>
      </c>
      <c r="P73" s="3">
        <f t="shared" si="4"/>
        <v>1303.3499999999999</v>
      </c>
    </row>
    <row r="74" spans="1:16" x14ac:dyDescent="0.35">
      <c r="A74" t="s">
        <v>86</v>
      </c>
      <c r="B74" s="5">
        <v>45648</v>
      </c>
      <c r="C74" t="s">
        <v>1286</v>
      </c>
      <c r="D74" s="1" t="str">
        <f t="shared" si="3"/>
        <v>Monitor</v>
      </c>
      <c r="E74" t="s">
        <v>2405</v>
      </c>
      <c r="F74">
        <v>4</v>
      </c>
      <c r="G74" s="7">
        <v>589.44000000000005</v>
      </c>
      <c r="H74" s="3" t="s">
        <v>2425</v>
      </c>
      <c r="I74" s="3" t="s">
        <v>3068</v>
      </c>
      <c r="J74" s="3" t="s">
        <v>3072</v>
      </c>
      <c r="K74" s="3" t="s">
        <v>3147</v>
      </c>
      <c r="L74" s="3">
        <v>5</v>
      </c>
      <c r="N74" s="3" t="s">
        <v>4281</v>
      </c>
      <c r="O74" s="7">
        <v>2357.7600000000002</v>
      </c>
      <c r="P74" s="3">
        <f t="shared" si="4"/>
        <v>2357.7600000000002</v>
      </c>
    </row>
    <row r="75" spans="1:16" x14ac:dyDescent="0.35">
      <c r="A75" t="s">
        <v>87</v>
      </c>
      <c r="B75" s="5">
        <v>45049</v>
      </c>
      <c r="C75" t="s">
        <v>1287</v>
      </c>
      <c r="D75" s="1" t="str">
        <f t="shared" si="3"/>
        <v>Phone</v>
      </c>
      <c r="E75" t="s">
        <v>2403</v>
      </c>
      <c r="F75">
        <v>4</v>
      </c>
      <c r="G75" s="7">
        <v>433.45</v>
      </c>
      <c r="H75" s="3" t="s">
        <v>2477</v>
      </c>
      <c r="I75" s="3" t="s">
        <v>3068</v>
      </c>
      <c r="J75" s="3" t="s">
        <v>3071</v>
      </c>
      <c r="K75" s="3" t="s">
        <v>3148</v>
      </c>
      <c r="L75" s="3">
        <v>4</v>
      </c>
      <c r="N75" s="3" t="s">
        <v>4281</v>
      </c>
      <c r="O75" s="7">
        <v>1733.8</v>
      </c>
      <c r="P75" s="3">
        <f t="shared" si="4"/>
        <v>1733.8</v>
      </c>
    </row>
    <row r="76" spans="1:16" x14ac:dyDescent="0.35">
      <c r="A76" t="s">
        <v>88</v>
      </c>
      <c r="B76" s="5">
        <v>45101</v>
      </c>
      <c r="C76" t="s">
        <v>1288</v>
      </c>
      <c r="D76" s="1" t="str">
        <f t="shared" si="3"/>
        <v>Tablet</v>
      </c>
      <c r="E76" t="s">
        <v>2404</v>
      </c>
      <c r="F76">
        <v>5</v>
      </c>
      <c r="G76" s="7">
        <v>90.87</v>
      </c>
      <c r="H76" s="3" t="s">
        <v>2478</v>
      </c>
      <c r="I76" s="3" t="s">
        <v>3069</v>
      </c>
      <c r="J76" s="3" t="s">
        <v>3074</v>
      </c>
      <c r="K76" s="3" t="s">
        <v>3149</v>
      </c>
      <c r="L76" s="3">
        <v>5</v>
      </c>
      <c r="N76" s="3" t="s">
        <v>4278</v>
      </c>
      <c r="O76" s="7">
        <v>454.35</v>
      </c>
      <c r="P76" s="3">
        <f t="shared" si="4"/>
        <v>454.35</v>
      </c>
    </row>
    <row r="77" spans="1:16" x14ac:dyDescent="0.35">
      <c r="A77" t="s">
        <v>89</v>
      </c>
      <c r="B77" s="5">
        <v>45195</v>
      </c>
      <c r="C77" t="s">
        <v>1289</v>
      </c>
      <c r="D77" s="1" t="str">
        <f t="shared" si="3"/>
        <v>Laptop</v>
      </c>
      <c r="E77" t="s">
        <v>2405</v>
      </c>
      <c r="F77">
        <v>3</v>
      </c>
      <c r="G77" s="7">
        <v>398.17</v>
      </c>
      <c r="H77" s="3" t="s">
        <v>2479</v>
      </c>
      <c r="I77" s="3" t="s">
        <v>3065</v>
      </c>
      <c r="J77" s="3" t="s">
        <v>3073</v>
      </c>
      <c r="K77" s="3" t="s">
        <v>3150</v>
      </c>
      <c r="L77" s="3">
        <v>5</v>
      </c>
      <c r="M77" s="10" t="s">
        <v>4275</v>
      </c>
      <c r="N77" s="3" t="s">
        <v>4280</v>
      </c>
      <c r="O77" s="7">
        <v>1194.51</v>
      </c>
      <c r="P77" s="3">
        <f t="shared" si="4"/>
        <v>1194.51</v>
      </c>
    </row>
    <row r="78" spans="1:16" x14ac:dyDescent="0.35">
      <c r="A78" t="s">
        <v>90</v>
      </c>
      <c r="B78" s="5">
        <v>45382</v>
      </c>
      <c r="C78" t="s">
        <v>1290</v>
      </c>
      <c r="D78" s="1" t="str">
        <f t="shared" si="3"/>
        <v>Phone</v>
      </c>
      <c r="E78" t="s">
        <v>2408</v>
      </c>
      <c r="F78">
        <v>4</v>
      </c>
      <c r="G78" s="7">
        <v>382.88</v>
      </c>
      <c r="H78" s="3" t="s">
        <v>2480</v>
      </c>
      <c r="I78" s="3" t="s">
        <v>3069</v>
      </c>
      <c r="J78" s="3" t="s">
        <v>3071</v>
      </c>
      <c r="K78" s="3" t="s">
        <v>3151</v>
      </c>
      <c r="L78" s="3">
        <v>6</v>
      </c>
      <c r="M78" s="10" t="s">
        <v>4277</v>
      </c>
      <c r="N78" s="3" t="s">
        <v>4280</v>
      </c>
      <c r="O78" s="7">
        <v>1531.52</v>
      </c>
      <c r="P78" s="3">
        <f t="shared" si="4"/>
        <v>1531.52</v>
      </c>
    </row>
    <row r="79" spans="1:16" x14ac:dyDescent="0.35">
      <c r="A79" t="s">
        <v>91</v>
      </c>
      <c r="B79" s="5">
        <v>45436</v>
      </c>
      <c r="C79" t="s">
        <v>1291</v>
      </c>
      <c r="D79" s="1" t="str">
        <f t="shared" si="3"/>
        <v>Printer</v>
      </c>
      <c r="E79" t="s">
        <v>2404</v>
      </c>
      <c r="F79">
        <v>1</v>
      </c>
      <c r="G79" s="7">
        <v>583.17999999999995</v>
      </c>
      <c r="H79" s="3" t="s">
        <v>2481</v>
      </c>
      <c r="I79" s="3" t="s">
        <v>3067</v>
      </c>
      <c r="J79" s="3" t="s">
        <v>3072</v>
      </c>
      <c r="K79" s="3" t="s">
        <v>3152</v>
      </c>
      <c r="L79" s="3">
        <v>5</v>
      </c>
      <c r="N79" s="3" t="s">
        <v>4282</v>
      </c>
      <c r="O79" s="7">
        <v>583.17999999999995</v>
      </c>
      <c r="P79" s="3">
        <f t="shared" si="4"/>
        <v>583.17999999999995</v>
      </c>
    </row>
    <row r="80" spans="1:16" x14ac:dyDescent="0.35">
      <c r="A80" t="s">
        <v>92</v>
      </c>
      <c r="B80" s="5">
        <v>45510</v>
      </c>
      <c r="C80" t="s">
        <v>1292</v>
      </c>
      <c r="D80" s="1" t="str">
        <f t="shared" si="3"/>
        <v>Tablet</v>
      </c>
      <c r="E80" t="s">
        <v>2407</v>
      </c>
      <c r="F80">
        <v>4</v>
      </c>
      <c r="G80" s="7">
        <v>175.36</v>
      </c>
      <c r="H80" s="3" t="s">
        <v>2482</v>
      </c>
      <c r="I80" s="3" t="s">
        <v>3065</v>
      </c>
      <c r="J80" s="3" t="s">
        <v>3073</v>
      </c>
      <c r="K80" s="3" t="s">
        <v>3153</v>
      </c>
      <c r="L80" s="3">
        <v>4</v>
      </c>
      <c r="M80" s="10" t="s">
        <v>4276</v>
      </c>
      <c r="N80" s="3" t="s">
        <v>4278</v>
      </c>
      <c r="O80" s="7">
        <v>701.44</v>
      </c>
      <c r="P80" s="3">
        <f t="shared" si="4"/>
        <v>701.44</v>
      </c>
    </row>
    <row r="81" spans="1:16" x14ac:dyDescent="0.35">
      <c r="A81" t="s">
        <v>93</v>
      </c>
      <c r="B81" s="5">
        <v>45726</v>
      </c>
      <c r="C81" t="s">
        <v>1293</v>
      </c>
      <c r="D81" s="1" t="str">
        <f t="shared" si="3"/>
        <v>Phone</v>
      </c>
      <c r="E81" t="s">
        <v>2405</v>
      </c>
      <c r="F81">
        <v>2</v>
      </c>
      <c r="G81" s="7">
        <v>311.91000000000003</v>
      </c>
      <c r="H81" s="3" t="s">
        <v>2483</v>
      </c>
      <c r="I81" s="3" t="s">
        <v>3066</v>
      </c>
      <c r="J81" s="3" t="s">
        <v>3070</v>
      </c>
      <c r="K81" s="3" t="s">
        <v>3154</v>
      </c>
      <c r="L81" s="3">
        <v>2</v>
      </c>
      <c r="N81" s="3" t="s">
        <v>4281</v>
      </c>
      <c r="O81" s="7">
        <v>623.82000000000005</v>
      </c>
      <c r="P81" s="3">
        <f t="shared" si="4"/>
        <v>623.82000000000005</v>
      </c>
    </row>
    <row r="82" spans="1:16" x14ac:dyDescent="0.35">
      <c r="A82" t="s">
        <v>94</v>
      </c>
      <c r="B82" s="5">
        <v>45104</v>
      </c>
      <c r="C82" t="s">
        <v>1294</v>
      </c>
      <c r="D82" s="1" t="str">
        <f t="shared" si="3"/>
        <v>Monitor</v>
      </c>
      <c r="E82" t="s">
        <v>2404</v>
      </c>
      <c r="F82">
        <v>3</v>
      </c>
      <c r="G82" s="7">
        <v>589.55999999999995</v>
      </c>
      <c r="H82" s="3" t="s">
        <v>2484</v>
      </c>
      <c r="I82" s="3" t="s">
        <v>3066</v>
      </c>
      <c r="J82" s="3" t="s">
        <v>3072</v>
      </c>
      <c r="K82" s="3" t="s">
        <v>3155</v>
      </c>
      <c r="L82" s="3">
        <v>6</v>
      </c>
      <c r="N82" s="3" t="s">
        <v>4281</v>
      </c>
      <c r="O82" s="7">
        <v>1768.68</v>
      </c>
      <c r="P82" s="3">
        <f t="shared" si="4"/>
        <v>1768.6799999999998</v>
      </c>
    </row>
    <row r="83" spans="1:16" x14ac:dyDescent="0.35">
      <c r="A83" t="s">
        <v>95</v>
      </c>
      <c r="B83" s="5">
        <v>45085</v>
      </c>
      <c r="C83" t="s">
        <v>1295</v>
      </c>
      <c r="D83" s="1" t="str">
        <f t="shared" si="3"/>
        <v>Tablet</v>
      </c>
      <c r="E83" t="s">
        <v>2403</v>
      </c>
      <c r="F83">
        <v>2</v>
      </c>
      <c r="G83" s="7">
        <v>394.3</v>
      </c>
      <c r="H83" s="3" t="s">
        <v>2485</v>
      </c>
      <c r="I83" s="3" t="s">
        <v>3069</v>
      </c>
      <c r="J83" s="3" t="s">
        <v>3070</v>
      </c>
      <c r="K83" s="3" t="s">
        <v>3156</v>
      </c>
      <c r="L83" s="3">
        <v>6</v>
      </c>
      <c r="M83" s="10" t="s">
        <v>4276</v>
      </c>
      <c r="N83" s="3" t="s">
        <v>4280</v>
      </c>
      <c r="O83" s="7">
        <v>788.6</v>
      </c>
      <c r="P83" s="3">
        <f t="shared" si="4"/>
        <v>788.6</v>
      </c>
    </row>
    <row r="84" spans="1:16" x14ac:dyDescent="0.35">
      <c r="A84" t="s">
        <v>96</v>
      </c>
      <c r="B84" s="5">
        <v>45296</v>
      </c>
      <c r="C84" t="s">
        <v>1296</v>
      </c>
      <c r="D84" s="1" t="str">
        <f t="shared" si="3"/>
        <v>Laptop</v>
      </c>
      <c r="E84" t="s">
        <v>2405</v>
      </c>
      <c r="F84">
        <v>4</v>
      </c>
      <c r="G84" s="7">
        <v>565.20000000000005</v>
      </c>
      <c r="H84" s="3" t="s">
        <v>2486</v>
      </c>
      <c r="I84" s="3" t="s">
        <v>3065</v>
      </c>
      <c r="J84" s="3" t="s">
        <v>3070</v>
      </c>
      <c r="K84" s="3" t="s">
        <v>3157</v>
      </c>
      <c r="L84" s="3">
        <v>9</v>
      </c>
      <c r="M84" s="10" t="s">
        <v>4275</v>
      </c>
      <c r="N84" s="3" t="s">
        <v>4282</v>
      </c>
      <c r="O84" s="7">
        <v>2260.8000000000002</v>
      </c>
      <c r="P84" s="3">
        <f t="shared" si="4"/>
        <v>2260.8000000000002</v>
      </c>
    </row>
    <row r="85" spans="1:16" x14ac:dyDescent="0.35">
      <c r="A85" t="s">
        <v>97</v>
      </c>
      <c r="B85" s="5">
        <v>45160</v>
      </c>
      <c r="C85" t="s">
        <v>1297</v>
      </c>
      <c r="D85" s="1" t="str">
        <f t="shared" si="3"/>
        <v>Monitor</v>
      </c>
      <c r="E85" t="s">
        <v>2408</v>
      </c>
      <c r="F85">
        <v>4</v>
      </c>
      <c r="G85" s="7">
        <v>540.41</v>
      </c>
      <c r="H85" s="3" t="s">
        <v>2487</v>
      </c>
      <c r="I85" s="3" t="s">
        <v>3067</v>
      </c>
      <c r="J85" s="3" t="s">
        <v>3071</v>
      </c>
      <c r="K85" s="3" t="s">
        <v>3158</v>
      </c>
      <c r="L85" s="3">
        <v>6</v>
      </c>
      <c r="N85" s="3" t="s">
        <v>4279</v>
      </c>
      <c r="O85" s="7">
        <v>2161.64</v>
      </c>
      <c r="P85" s="3">
        <f t="shared" si="4"/>
        <v>2161.64</v>
      </c>
    </row>
    <row r="86" spans="1:16" x14ac:dyDescent="0.35">
      <c r="A86" t="s">
        <v>98</v>
      </c>
      <c r="B86" s="5">
        <v>45166</v>
      </c>
      <c r="C86" t="s">
        <v>1298</v>
      </c>
      <c r="D86" s="1" t="str">
        <f t="shared" si="3"/>
        <v>Tablet</v>
      </c>
      <c r="E86" t="s">
        <v>2403</v>
      </c>
      <c r="F86">
        <v>2</v>
      </c>
      <c r="G86" s="7">
        <v>165.49</v>
      </c>
      <c r="H86" s="3" t="s">
        <v>2488</v>
      </c>
      <c r="I86" s="3" t="s">
        <v>3066</v>
      </c>
      <c r="J86" s="3" t="s">
        <v>3070</v>
      </c>
      <c r="K86" s="3" t="s">
        <v>3159</v>
      </c>
      <c r="L86" s="3">
        <v>4</v>
      </c>
      <c r="M86" s="10" t="s">
        <v>4277</v>
      </c>
      <c r="N86" s="3" t="s">
        <v>4278</v>
      </c>
      <c r="O86" s="7">
        <v>330.98</v>
      </c>
      <c r="P86" s="3">
        <f t="shared" si="4"/>
        <v>330.98</v>
      </c>
    </row>
    <row r="87" spans="1:16" x14ac:dyDescent="0.35">
      <c r="A87" t="s">
        <v>99</v>
      </c>
      <c r="B87" s="5">
        <v>45544</v>
      </c>
      <c r="C87" t="s">
        <v>1299</v>
      </c>
      <c r="D87" s="1" t="str">
        <f t="shared" si="3"/>
        <v>Printer</v>
      </c>
      <c r="E87" t="s">
        <v>2405</v>
      </c>
      <c r="F87">
        <v>3</v>
      </c>
      <c r="G87" s="7">
        <v>146.72999999999999</v>
      </c>
      <c r="H87" s="3" t="s">
        <v>2489</v>
      </c>
      <c r="I87" s="3" t="s">
        <v>3069</v>
      </c>
      <c r="J87" s="3" t="s">
        <v>3073</v>
      </c>
      <c r="K87" s="3" t="s">
        <v>3160</v>
      </c>
      <c r="L87" s="3">
        <v>8</v>
      </c>
      <c r="M87" s="10" t="s">
        <v>4276</v>
      </c>
      <c r="N87" s="3" t="s">
        <v>4280</v>
      </c>
      <c r="O87" s="7">
        <v>440.18999999999988</v>
      </c>
      <c r="P87" s="3">
        <f t="shared" si="4"/>
        <v>440.18999999999994</v>
      </c>
    </row>
    <row r="88" spans="1:16" x14ac:dyDescent="0.35">
      <c r="A88" t="s">
        <v>100</v>
      </c>
      <c r="B88" s="5">
        <v>45462</v>
      </c>
      <c r="C88" t="s">
        <v>1300</v>
      </c>
      <c r="D88" s="1" t="str">
        <f t="shared" si="3"/>
        <v>Tablet</v>
      </c>
      <c r="E88" t="s">
        <v>2407</v>
      </c>
      <c r="F88">
        <v>5</v>
      </c>
      <c r="G88" s="7">
        <v>643.03</v>
      </c>
      <c r="H88" s="3" t="s">
        <v>2490</v>
      </c>
      <c r="I88" s="3" t="s">
        <v>3066</v>
      </c>
      <c r="J88" s="3" t="s">
        <v>3071</v>
      </c>
      <c r="K88" s="3" t="s">
        <v>3161</v>
      </c>
      <c r="L88" s="3">
        <v>5</v>
      </c>
      <c r="M88" s="10" t="s">
        <v>4276</v>
      </c>
      <c r="N88" s="3" t="s">
        <v>4279</v>
      </c>
      <c r="O88" s="7">
        <v>3215.15</v>
      </c>
      <c r="P88" s="3">
        <f t="shared" si="4"/>
        <v>3215.1499999999996</v>
      </c>
    </row>
    <row r="89" spans="1:16" x14ac:dyDescent="0.35">
      <c r="A89" t="s">
        <v>101</v>
      </c>
      <c r="B89" s="5">
        <v>45575</v>
      </c>
      <c r="C89" t="s">
        <v>1301</v>
      </c>
      <c r="D89" s="1" t="str">
        <f t="shared" si="3"/>
        <v>Desk</v>
      </c>
      <c r="E89" t="s">
        <v>2405</v>
      </c>
      <c r="F89">
        <v>3</v>
      </c>
      <c r="G89" s="7">
        <v>225.11</v>
      </c>
      <c r="H89" s="3" t="s">
        <v>2491</v>
      </c>
      <c r="I89" s="3" t="s">
        <v>3069</v>
      </c>
      <c r="J89" s="3" t="s">
        <v>3070</v>
      </c>
      <c r="K89" s="3" t="s">
        <v>3162</v>
      </c>
      <c r="L89" s="3">
        <v>4</v>
      </c>
      <c r="M89" s="10" t="s">
        <v>4275</v>
      </c>
      <c r="N89" s="3" t="s">
        <v>4281</v>
      </c>
      <c r="O89" s="7">
        <v>675.33</v>
      </c>
      <c r="P89" s="3">
        <f t="shared" si="4"/>
        <v>675.33</v>
      </c>
    </row>
    <row r="90" spans="1:16" x14ac:dyDescent="0.35">
      <c r="A90" t="s">
        <v>102</v>
      </c>
      <c r="B90" s="5">
        <v>45813</v>
      </c>
      <c r="C90" t="s">
        <v>1302</v>
      </c>
      <c r="D90" s="1" t="str">
        <f t="shared" si="3"/>
        <v>Printer</v>
      </c>
      <c r="E90" t="s">
        <v>2409</v>
      </c>
      <c r="F90">
        <v>3</v>
      </c>
      <c r="G90" s="7">
        <v>114.81</v>
      </c>
      <c r="H90" s="3" t="s">
        <v>2492</v>
      </c>
      <c r="I90" s="3" t="s">
        <v>3068</v>
      </c>
      <c r="J90" s="3" t="s">
        <v>3071</v>
      </c>
      <c r="K90" s="3" t="s">
        <v>3163</v>
      </c>
      <c r="L90" s="3">
        <v>7</v>
      </c>
      <c r="N90" s="3" t="s">
        <v>4282</v>
      </c>
      <c r="O90" s="7">
        <v>344.43</v>
      </c>
      <c r="P90" s="3">
        <f t="shared" si="4"/>
        <v>344.43</v>
      </c>
    </row>
    <row r="91" spans="1:16" x14ac:dyDescent="0.35">
      <c r="A91" t="s">
        <v>103</v>
      </c>
      <c r="B91" s="5">
        <v>45713</v>
      </c>
      <c r="C91" t="s">
        <v>1303</v>
      </c>
      <c r="D91" s="1" t="str">
        <f t="shared" si="3"/>
        <v>Chair</v>
      </c>
      <c r="E91" t="s">
        <v>2407</v>
      </c>
      <c r="F91">
        <v>5</v>
      </c>
      <c r="G91" s="7">
        <v>455.33</v>
      </c>
      <c r="H91" s="3" t="s">
        <v>2493</v>
      </c>
      <c r="I91" s="3" t="s">
        <v>3067</v>
      </c>
      <c r="J91" s="3" t="s">
        <v>3071</v>
      </c>
      <c r="K91" s="3" t="s">
        <v>3164</v>
      </c>
      <c r="L91" s="3">
        <v>8</v>
      </c>
      <c r="M91" s="10" t="s">
        <v>4276</v>
      </c>
      <c r="N91" s="3" t="s">
        <v>4282</v>
      </c>
      <c r="O91" s="7">
        <v>2276.65</v>
      </c>
      <c r="P91" s="3">
        <f t="shared" si="4"/>
        <v>2276.65</v>
      </c>
    </row>
    <row r="92" spans="1:16" x14ac:dyDescent="0.35">
      <c r="A92" t="s">
        <v>104</v>
      </c>
      <c r="B92" s="5">
        <v>45187</v>
      </c>
      <c r="C92" t="s">
        <v>1304</v>
      </c>
      <c r="D92" s="1" t="str">
        <f t="shared" si="3"/>
        <v>Laptop</v>
      </c>
      <c r="E92" t="s">
        <v>2406</v>
      </c>
      <c r="F92">
        <v>4</v>
      </c>
      <c r="G92" s="7">
        <v>182.08</v>
      </c>
      <c r="H92" s="3" t="s">
        <v>2494</v>
      </c>
      <c r="I92" s="3" t="s">
        <v>3068</v>
      </c>
      <c r="J92" s="3" t="s">
        <v>3073</v>
      </c>
      <c r="K92" s="3" t="s">
        <v>3165</v>
      </c>
      <c r="L92" s="3">
        <v>4</v>
      </c>
      <c r="M92" s="10" t="s">
        <v>4275</v>
      </c>
      <c r="N92" s="3" t="s">
        <v>4280</v>
      </c>
      <c r="O92" s="7">
        <v>728.32</v>
      </c>
      <c r="P92" s="3">
        <f t="shared" si="4"/>
        <v>728.32</v>
      </c>
    </row>
    <row r="93" spans="1:16" x14ac:dyDescent="0.35">
      <c r="A93" t="s">
        <v>105</v>
      </c>
      <c r="B93" s="5">
        <v>45000</v>
      </c>
      <c r="C93" t="s">
        <v>1305</v>
      </c>
      <c r="D93" s="1" t="str">
        <f t="shared" si="3"/>
        <v>Printer</v>
      </c>
      <c r="E93" t="s">
        <v>2408</v>
      </c>
      <c r="F93">
        <v>5</v>
      </c>
      <c r="G93" s="7">
        <v>492.75</v>
      </c>
      <c r="H93" s="3" t="s">
        <v>2495</v>
      </c>
      <c r="I93" s="3" t="s">
        <v>3069</v>
      </c>
      <c r="J93" s="3" t="s">
        <v>3070</v>
      </c>
      <c r="K93" s="3" t="s">
        <v>3166</v>
      </c>
      <c r="L93" s="3">
        <v>6</v>
      </c>
      <c r="M93" s="10" t="s">
        <v>4277</v>
      </c>
      <c r="N93" s="3" t="s">
        <v>4279</v>
      </c>
      <c r="O93" s="7">
        <v>2463.75</v>
      </c>
      <c r="P93" s="3">
        <f t="shared" si="4"/>
        <v>2463.75</v>
      </c>
    </row>
    <row r="94" spans="1:16" x14ac:dyDescent="0.35">
      <c r="A94" t="s">
        <v>106</v>
      </c>
      <c r="B94" s="5">
        <v>45453</v>
      </c>
      <c r="C94" t="s">
        <v>1306</v>
      </c>
      <c r="D94" s="1" t="str">
        <f t="shared" si="3"/>
        <v>Desk</v>
      </c>
      <c r="E94" t="s">
        <v>2407</v>
      </c>
      <c r="F94">
        <v>4</v>
      </c>
      <c r="G94" s="7">
        <v>48.61</v>
      </c>
      <c r="H94" s="3" t="s">
        <v>2496</v>
      </c>
      <c r="I94" s="3" t="s">
        <v>3066</v>
      </c>
      <c r="J94" s="3" t="s">
        <v>3070</v>
      </c>
      <c r="K94" s="3" t="s">
        <v>3167</v>
      </c>
      <c r="L94" s="3">
        <v>7</v>
      </c>
      <c r="M94" s="10" t="s">
        <v>4276</v>
      </c>
      <c r="N94" s="3" t="s">
        <v>4281</v>
      </c>
      <c r="O94" s="7">
        <v>194.44</v>
      </c>
      <c r="P94" s="3">
        <f t="shared" si="4"/>
        <v>194.44</v>
      </c>
    </row>
    <row r="95" spans="1:16" x14ac:dyDescent="0.35">
      <c r="A95" t="s">
        <v>107</v>
      </c>
      <c r="B95" s="5">
        <v>44940</v>
      </c>
      <c r="C95" t="s">
        <v>1307</v>
      </c>
      <c r="D95" s="1" t="str">
        <f t="shared" si="3"/>
        <v>Chair</v>
      </c>
      <c r="E95" t="s">
        <v>2409</v>
      </c>
      <c r="F95">
        <v>4</v>
      </c>
      <c r="G95" s="7">
        <v>431.01</v>
      </c>
      <c r="H95" s="3" t="s">
        <v>2497</v>
      </c>
      <c r="I95" s="3" t="s">
        <v>3067</v>
      </c>
      <c r="J95" s="3" t="s">
        <v>3072</v>
      </c>
      <c r="K95" s="3" t="s">
        <v>3168</v>
      </c>
      <c r="L95" s="3">
        <v>7</v>
      </c>
      <c r="N95" s="3" t="s">
        <v>4279</v>
      </c>
      <c r="O95" s="7">
        <v>1724.04</v>
      </c>
      <c r="P95" s="3">
        <f t="shared" si="4"/>
        <v>1724.04</v>
      </c>
    </row>
    <row r="96" spans="1:16" x14ac:dyDescent="0.35">
      <c r="A96" t="s">
        <v>108</v>
      </c>
      <c r="B96" s="5">
        <v>44968</v>
      </c>
      <c r="C96" t="s">
        <v>1308</v>
      </c>
      <c r="D96" s="1" t="str">
        <f t="shared" si="3"/>
        <v>Printer</v>
      </c>
      <c r="E96" t="s">
        <v>2406</v>
      </c>
      <c r="F96">
        <v>1</v>
      </c>
      <c r="G96" s="7">
        <v>531.17999999999995</v>
      </c>
      <c r="H96" s="3" t="s">
        <v>2498</v>
      </c>
      <c r="I96" s="3" t="s">
        <v>3068</v>
      </c>
      <c r="J96" s="3" t="s">
        <v>3072</v>
      </c>
      <c r="K96" s="3" t="s">
        <v>3169</v>
      </c>
      <c r="L96" s="3">
        <v>6</v>
      </c>
      <c r="M96" s="10" t="s">
        <v>4277</v>
      </c>
      <c r="N96" s="3" t="s">
        <v>4278</v>
      </c>
      <c r="O96" s="7">
        <v>531.17999999999995</v>
      </c>
      <c r="P96" s="3">
        <f t="shared" si="4"/>
        <v>531.17999999999995</v>
      </c>
    </row>
    <row r="97" spans="1:16" x14ac:dyDescent="0.35">
      <c r="A97" t="s">
        <v>109</v>
      </c>
      <c r="B97" s="5">
        <v>45009</v>
      </c>
      <c r="C97" t="s">
        <v>1309</v>
      </c>
      <c r="D97" s="1" t="str">
        <f t="shared" si="3"/>
        <v>Phone</v>
      </c>
      <c r="E97" t="s">
        <v>2407</v>
      </c>
      <c r="F97">
        <v>4</v>
      </c>
      <c r="G97" s="7">
        <v>117.51</v>
      </c>
      <c r="H97" s="3" t="s">
        <v>2499</v>
      </c>
      <c r="I97" s="3" t="s">
        <v>3065</v>
      </c>
      <c r="J97" s="3" t="s">
        <v>3072</v>
      </c>
      <c r="K97" s="3" t="s">
        <v>3170</v>
      </c>
      <c r="L97" s="3">
        <v>7</v>
      </c>
      <c r="N97" s="3" t="s">
        <v>4279</v>
      </c>
      <c r="O97" s="7">
        <v>470.04</v>
      </c>
      <c r="P97" s="3">
        <f t="shared" si="4"/>
        <v>470.04</v>
      </c>
    </row>
    <row r="98" spans="1:16" x14ac:dyDescent="0.35">
      <c r="A98" t="s">
        <v>110</v>
      </c>
      <c r="B98" s="5">
        <v>45444</v>
      </c>
      <c r="C98" t="s">
        <v>1310</v>
      </c>
      <c r="D98" s="1" t="str">
        <f t="shared" si="3"/>
        <v>Tablet</v>
      </c>
      <c r="E98" t="s">
        <v>2404</v>
      </c>
      <c r="F98">
        <v>2</v>
      </c>
      <c r="G98" s="7">
        <v>232.83</v>
      </c>
      <c r="H98" s="3" t="s">
        <v>2483</v>
      </c>
      <c r="I98" s="3" t="s">
        <v>3068</v>
      </c>
      <c r="J98" s="3" t="s">
        <v>3073</v>
      </c>
      <c r="K98" s="3" t="s">
        <v>3171</v>
      </c>
      <c r="L98" s="3">
        <v>7</v>
      </c>
      <c r="N98" s="3" t="s">
        <v>4278</v>
      </c>
      <c r="O98" s="7">
        <v>465.66</v>
      </c>
      <c r="P98" s="3">
        <f t="shared" si="4"/>
        <v>465.66</v>
      </c>
    </row>
    <row r="99" spans="1:16" x14ac:dyDescent="0.35">
      <c r="A99" t="s">
        <v>111</v>
      </c>
      <c r="B99" s="5">
        <v>45678</v>
      </c>
      <c r="C99" t="s">
        <v>1311</v>
      </c>
      <c r="D99" s="1" t="str">
        <f t="shared" si="3"/>
        <v>Printer</v>
      </c>
      <c r="E99" t="s">
        <v>2405</v>
      </c>
      <c r="F99">
        <v>5</v>
      </c>
      <c r="G99" s="7">
        <v>619.52</v>
      </c>
      <c r="H99" s="3" t="s">
        <v>2500</v>
      </c>
      <c r="I99" s="3" t="s">
        <v>3065</v>
      </c>
      <c r="J99" s="3" t="s">
        <v>3074</v>
      </c>
      <c r="K99" s="3" t="s">
        <v>3172</v>
      </c>
      <c r="L99" s="3">
        <v>9</v>
      </c>
      <c r="N99" s="3" t="s">
        <v>4280</v>
      </c>
      <c r="O99" s="7">
        <v>3097.6</v>
      </c>
      <c r="P99" s="3">
        <f t="shared" si="4"/>
        <v>3097.6</v>
      </c>
    </row>
    <row r="100" spans="1:16" x14ac:dyDescent="0.35">
      <c r="A100" t="s">
        <v>112</v>
      </c>
      <c r="B100" s="5">
        <v>44940</v>
      </c>
      <c r="C100" t="s">
        <v>1312</v>
      </c>
      <c r="D100" s="1" t="str">
        <f t="shared" si="3"/>
        <v>Printer</v>
      </c>
      <c r="E100" t="s">
        <v>2407</v>
      </c>
      <c r="F100">
        <v>2</v>
      </c>
      <c r="G100" s="7">
        <v>228.54</v>
      </c>
      <c r="H100" s="3" t="s">
        <v>2501</v>
      </c>
      <c r="I100" s="3" t="s">
        <v>3065</v>
      </c>
      <c r="J100" s="3" t="s">
        <v>3074</v>
      </c>
      <c r="K100" s="3" t="s">
        <v>3173</v>
      </c>
      <c r="L100" s="3">
        <v>3</v>
      </c>
      <c r="N100" s="3" t="s">
        <v>4280</v>
      </c>
      <c r="O100" s="7">
        <v>457.08</v>
      </c>
      <c r="P100" s="3">
        <f t="shared" si="4"/>
        <v>457.08</v>
      </c>
    </row>
    <row r="101" spans="1:16" x14ac:dyDescent="0.35">
      <c r="A101" t="s">
        <v>113</v>
      </c>
      <c r="B101" s="5">
        <v>45759</v>
      </c>
      <c r="C101" t="s">
        <v>1313</v>
      </c>
      <c r="D101" s="1" t="str">
        <f t="shared" si="3"/>
        <v>Phone</v>
      </c>
      <c r="E101" t="s">
        <v>2407</v>
      </c>
      <c r="F101">
        <v>1</v>
      </c>
      <c r="G101" s="7">
        <v>201.58</v>
      </c>
      <c r="H101" s="3" t="s">
        <v>2502</v>
      </c>
      <c r="I101" s="3" t="s">
        <v>3065</v>
      </c>
      <c r="J101" s="3" t="s">
        <v>3071</v>
      </c>
      <c r="K101" s="3" t="s">
        <v>3174</v>
      </c>
      <c r="L101" s="3">
        <v>2</v>
      </c>
      <c r="M101" s="10" t="s">
        <v>4277</v>
      </c>
      <c r="N101" s="3" t="s">
        <v>4280</v>
      </c>
      <c r="O101" s="7">
        <v>201.58</v>
      </c>
      <c r="P101" s="3">
        <f t="shared" si="4"/>
        <v>201.58</v>
      </c>
    </row>
    <row r="102" spans="1:16" x14ac:dyDescent="0.35">
      <c r="A102" t="s">
        <v>114</v>
      </c>
      <c r="B102" s="5">
        <v>44974</v>
      </c>
      <c r="C102" t="s">
        <v>1314</v>
      </c>
      <c r="D102" s="1" t="str">
        <f t="shared" si="3"/>
        <v>Printer</v>
      </c>
      <c r="E102" t="s">
        <v>2404</v>
      </c>
      <c r="F102">
        <v>3</v>
      </c>
      <c r="G102" s="7">
        <v>664.79</v>
      </c>
      <c r="H102" s="3" t="s">
        <v>2503</v>
      </c>
      <c r="I102" s="3" t="s">
        <v>3066</v>
      </c>
      <c r="J102" s="3" t="s">
        <v>3073</v>
      </c>
      <c r="K102" s="3" t="s">
        <v>3175</v>
      </c>
      <c r="L102" s="3">
        <v>6</v>
      </c>
      <c r="N102" s="3" t="s">
        <v>4281</v>
      </c>
      <c r="O102" s="7">
        <v>1994.37</v>
      </c>
      <c r="P102" s="3">
        <f t="shared" si="4"/>
        <v>1994.37</v>
      </c>
    </row>
    <row r="103" spans="1:16" x14ac:dyDescent="0.35">
      <c r="A103" t="s">
        <v>115</v>
      </c>
      <c r="B103" s="5">
        <v>45255</v>
      </c>
      <c r="C103" t="s">
        <v>1315</v>
      </c>
      <c r="D103" s="1" t="str">
        <f t="shared" si="3"/>
        <v>Laptop</v>
      </c>
      <c r="E103" t="s">
        <v>2407</v>
      </c>
      <c r="F103">
        <v>1</v>
      </c>
      <c r="G103" s="7">
        <v>381.02</v>
      </c>
      <c r="H103" s="3" t="s">
        <v>2504</v>
      </c>
      <c r="I103" s="3" t="s">
        <v>3069</v>
      </c>
      <c r="J103" s="3" t="s">
        <v>3070</v>
      </c>
      <c r="K103" s="3" t="s">
        <v>3176</v>
      </c>
      <c r="L103" s="3">
        <v>6</v>
      </c>
      <c r="N103" s="3" t="s">
        <v>4282</v>
      </c>
      <c r="O103" s="7">
        <v>381.02</v>
      </c>
      <c r="P103" s="3">
        <f t="shared" si="4"/>
        <v>381.02</v>
      </c>
    </row>
    <row r="104" spans="1:16" x14ac:dyDescent="0.35">
      <c r="A104" t="s">
        <v>116</v>
      </c>
      <c r="B104" s="5">
        <v>44993</v>
      </c>
      <c r="C104" t="s">
        <v>1316</v>
      </c>
      <c r="D104" s="1" t="str">
        <f t="shared" si="3"/>
        <v>Phone</v>
      </c>
      <c r="E104" t="s">
        <v>2408</v>
      </c>
      <c r="F104">
        <v>2</v>
      </c>
      <c r="G104" s="7">
        <v>70.34</v>
      </c>
      <c r="H104" s="3" t="s">
        <v>2505</v>
      </c>
      <c r="I104" s="3" t="s">
        <v>3068</v>
      </c>
      <c r="J104" s="3" t="s">
        <v>3071</v>
      </c>
      <c r="K104" s="3" t="s">
        <v>3177</v>
      </c>
      <c r="L104" s="3">
        <v>3</v>
      </c>
      <c r="M104" s="10" t="s">
        <v>4276</v>
      </c>
      <c r="N104" s="3" t="s">
        <v>4280</v>
      </c>
      <c r="O104" s="7">
        <v>140.68</v>
      </c>
      <c r="P104" s="3">
        <f t="shared" si="4"/>
        <v>140.68</v>
      </c>
    </row>
    <row r="105" spans="1:16" x14ac:dyDescent="0.35">
      <c r="A105" t="s">
        <v>117</v>
      </c>
      <c r="B105" s="5">
        <v>45682</v>
      </c>
      <c r="C105" t="s">
        <v>1317</v>
      </c>
      <c r="D105" s="1" t="str">
        <f t="shared" si="3"/>
        <v>Phone</v>
      </c>
      <c r="E105" t="s">
        <v>2404</v>
      </c>
      <c r="F105">
        <v>4</v>
      </c>
      <c r="G105" s="7">
        <v>218.43</v>
      </c>
      <c r="H105" s="3" t="s">
        <v>2506</v>
      </c>
      <c r="I105" s="3" t="s">
        <v>3067</v>
      </c>
      <c r="J105" s="3" t="s">
        <v>3071</v>
      </c>
      <c r="K105" s="3" t="s">
        <v>3178</v>
      </c>
      <c r="L105" s="3">
        <v>9</v>
      </c>
      <c r="M105" s="10" t="s">
        <v>4275</v>
      </c>
      <c r="N105" s="3" t="s">
        <v>4280</v>
      </c>
      <c r="O105" s="7">
        <v>873.72</v>
      </c>
      <c r="P105" s="3">
        <f t="shared" si="4"/>
        <v>873.72</v>
      </c>
    </row>
    <row r="106" spans="1:16" x14ac:dyDescent="0.35">
      <c r="A106" t="s">
        <v>118</v>
      </c>
      <c r="B106" s="5">
        <v>45503</v>
      </c>
      <c r="C106" t="s">
        <v>1318</v>
      </c>
      <c r="D106" s="1" t="str">
        <f t="shared" si="3"/>
        <v>Printer</v>
      </c>
      <c r="E106" t="s">
        <v>2404</v>
      </c>
      <c r="F106">
        <v>1</v>
      </c>
      <c r="G106" s="7">
        <v>582.04</v>
      </c>
      <c r="H106" s="3" t="s">
        <v>2507</v>
      </c>
      <c r="I106" s="3" t="s">
        <v>3068</v>
      </c>
      <c r="J106" s="3" t="s">
        <v>3073</v>
      </c>
      <c r="K106" s="3" t="s">
        <v>3179</v>
      </c>
      <c r="L106" s="3">
        <v>1</v>
      </c>
      <c r="M106" s="10" t="s">
        <v>4276</v>
      </c>
      <c r="N106" s="3" t="s">
        <v>4280</v>
      </c>
      <c r="O106" s="7">
        <v>582.04</v>
      </c>
      <c r="P106" s="3">
        <f t="shared" si="4"/>
        <v>582.04</v>
      </c>
    </row>
    <row r="107" spans="1:16" x14ac:dyDescent="0.35">
      <c r="A107" t="s">
        <v>119</v>
      </c>
      <c r="B107" s="5">
        <v>45589</v>
      </c>
      <c r="C107" t="s">
        <v>1319</v>
      </c>
      <c r="D107" s="1" t="str">
        <f t="shared" si="3"/>
        <v>Desk</v>
      </c>
      <c r="E107" t="s">
        <v>2407</v>
      </c>
      <c r="F107">
        <v>3</v>
      </c>
      <c r="G107" s="7">
        <v>185.4</v>
      </c>
      <c r="H107" s="3" t="s">
        <v>2508</v>
      </c>
      <c r="I107" s="3" t="s">
        <v>3068</v>
      </c>
      <c r="J107" s="3" t="s">
        <v>3071</v>
      </c>
      <c r="K107" s="3" t="s">
        <v>3180</v>
      </c>
      <c r="L107" s="3">
        <v>7</v>
      </c>
      <c r="N107" s="3" t="s">
        <v>4281</v>
      </c>
      <c r="O107" s="7">
        <v>556.20000000000005</v>
      </c>
      <c r="P107" s="3">
        <f t="shared" si="4"/>
        <v>556.20000000000005</v>
      </c>
    </row>
    <row r="108" spans="1:16" x14ac:dyDescent="0.35">
      <c r="A108" t="s">
        <v>120</v>
      </c>
      <c r="B108" s="5">
        <v>45177</v>
      </c>
      <c r="C108" t="s">
        <v>1320</v>
      </c>
      <c r="D108" s="1" t="str">
        <f t="shared" si="3"/>
        <v>Printer</v>
      </c>
      <c r="E108" t="s">
        <v>2409</v>
      </c>
      <c r="F108">
        <v>3</v>
      </c>
      <c r="G108" s="7">
        <v>465.05</v>
      </c>
      <c r="H108" s="3" t="s">
        <v>2509</v>
      </c>
      <c r="I108" s="3" t="s">
        <v>3067</v>
      </c>
      <c r="J108" s="3" t="s">
        <v>3071</v>
      </c>
      <c r="K108" s="3" t="s">
        <v>3181</v>
      </c>
      <c r="L108" s="3">
        <v>3</v>
      </c>
      <c r="M108" s="10" t="s">
        <v>4275</v>
      </c>
      <c r="N108" s="3" t="s">
        <v>4280</v>
      </c>
      <c r="O108" s="7">
        <v>1395.15</v>
      </c>
      <c r="P108" s="3">
        <f t="shared" si="4"/>
        <v>1395.15</v>
      </c>
    </row>
    <row r="109" spans="1:16" x14ac:dyDescent="0.35">
      <c r="A109" t="s">
        <v>121</v>
      </c>
      <c r="B109" s="5">
        <v>45012</v>
      </c>
      <c r="C109" t="s">
        <v>1321</v>
      </c>
      <c r="D109" s="1" t="str">
        <f t="shared" si="3"/>
        <v>Laptop</v>
      </c>
      <c r="E109" t="s">
        <v>2407</v>
      </c>
      <c r="F109">
        <v>5</v>
      </c>
      <c r="G109" s="7">
        <v>670.75</v>
      </c>
      <c r="H109" s="3" t="s">
        <v>2510</v>
      </c>
      <c r="I109" s="3" t="s">
        <v>3068</v>
      </c>
      <c r="J109" s="3" t="s">
        <v>3070</v>
      </c>
      <c r="K109" s="3" t="s">
        <v>3182</v>
      </c>
      <c r="L109" s="3">
        <v>8</v>
      </c>
      <c r="M109" s="10" t="s">
        <v>4276</v>
      </c>
      <c r="N109" s="3" t="s">
        <v>4278</v>
      </c>
      <c r="O109" s="7">
        <v>3353.75</v>
      </c>
      <c r="P109" s="3">
        <f t="shared" si="4"/>
        <v>3353.75</v>
      </c>
    </row>
    <row r="110" spans="1:16" x14ac:dyDescent="0.35">
      <c r="A110" t="s">
        <v>122</v>
      </c>
      <c r="B110" s="5">
        <v>45654</v>
      </c>
      <c r="C110" t="s">
        <v>1322</v>
      </c>
      <c r="D110" s="1" t="str">
        <f t="shared" si="3"/>
        <v>Desk</v>
      </c>
      <c r="E110" t="s">
        <v>2408</v>
      </c>
      <c r="F110">
        <v>5</v>
      </c>
      <c r="G110" s="7">
        <v>48.38</v>
      </c>
      <c r="H110" s="3" t="s">
        <v>2511</v>
      </c>
      <c r="I110" s="3" t="s">
        <v>3068</v>
      </c>
      <c r="J110" s="3" t="s">
        <v>3073</v>
      </c>
      <c r="K110" s="3" t="s">
        <v>3183</v>
      </c>
      <c r="L110" s="3">
        <v>9</v>
      </c>
      <c r="M110" s="10" t="s">
        <v>4277</v>
      </c>
      <c r="N110" s="3" t="s">
        <v>4280</v>
      </c>
      <c r="O110" s="7">
        <v>241.9</v>
      </c>
      <c r="P110" s="3">
        <f t="shared" si="4"/>
        <v>241.9</v>
      </c>
    </row>
    <row r="111" spans="1:16" x14ac:dyDescent="0.35">
      <c r="A111" t="s">
        <v>123</v>
      </c>
      <c r="B111" s="5">
        <v>45186</v>
      </c>
      <c r="C111" t="s">
        <v>1323</v>
      </c>
      <c r="D111" s="1" t="str">
        <f t="shared" si="3"/>
        <v>Tablet</v>
      </c>
      <c r="E111" t="s">
        <v>2409</v>
      </c>
      <c r="F111">
        <v>3</v>
      </c>
      <c r="G111" s="7">
        <v>592.87</v>
      </c>
      <c r="H111" s="3" t="s">
        <v>2512</v>
      </c>
      <c r="I111" s="3" t="s">
        <v>3068</v>
      </c>
      <c r="J111" s="3" t="s">
        <v>3070</v>
      </c>
      <c r="K111" s="3" t="s">
        <v>3184</v>
      </c>
      <c r="L111" s="3">
        <v>3</v>
      </c>
      <c r="M111" s="10" t="s">
        <v>4276</v>
      </c>
      <c r="N111" s="3" t="s">
        <v>4279</v>
      </c>
      <c r="O111" s="7">
        <v>1778.61</v>
      </c>
      <c r="P111" s="3">
        <f t="shared" si="4"/>
        <v>1778.6100000000001</v>
      </c>
    </row>
    <row r="112" spans="1:16" x14ac:dyDescent="0.35">
      <c r="A112" t="s">
        <v>124</v>
      </c>
      <c r="B112" s="5">
        <v>45403</v>
      </c>
      <c r="C112" t="s">
        <v>1324</v>
      </c>
      <c r="D112" s="1" t="str">
        <f t="shared" si="3"/>
        <v>Desk</v>
      </c>
      <c r="E112" t="s">
        <v>2405</v>
      </c>
      <c r="F112">
        <v>1</v>
      </c>
      <c r="G112" s="7">
        <v>220.77</v>
      </c>
      <c r="H112" s="3" t="s">
        <v>2513</v>
      </c>
      <c r="I112" s="3" t="s">
        <v>3068</v>
      </c>
      <c r="J112" s="3" t="s">
        <v>3074</v>
      </c>
      <c r="K112" s="3" t="s">
        <v>3185</v>
      </c>
      <c r="L112" s="3">
        <v>5</v>
      </c>
      <c r="M112" s="10" t="s">
        <v>4276</v>
      </c>
      <c r="N112" s="3" t="s">
        <v>4278</v>
      </c>
      <c r="O112" s="7">
        <v>220.77</v>
      </c>
      <c r="P112" s="3">
        <f t="shared" si="4"/>
        <v>220.77</v>
      </c>
    </row>
    <row r="113" spans="1:16" x14ac:dyDescent="0.35">
      <c r="A113" t="s">
        <v>125</v>
      </c>
      <c r="B113" s="5">
        <v>45784</v>
      </c>
      <c r="C113" t="s">
        <v>1325</v>
      </c>
      <c r="D113" s="1" t="str">
        <f t="shared" si="3"/>
        <v>Monitor</v>
      </c>
      <c r="E113" t="s">
        <v>2409</v>
      </c>
      <c r="F113">
        <v>3</v>
      </c>
      <c r="G113" s="7">
        <v>309.22000000000003</v>
      </c>
      <c r="H113" s="3" t="s">
        <v>2514</v>
      </c>
      <c r="I113" s="3" t="s">
        <v>3066</v>
      </c>
      <c r="J113" s="3" t="s">
        <v>3071</v>
      </c>
      <c r="K113" s="3" t="s">
        <v>3186</v>
      </c>
      <c r="L113" s="3">
        <v>7</v>
      </c>
      <c r="M113" s="10" t="s">
        <v>4276</v>
      </c>
      <c r="N113" s="3" t="s">
        <v>4282</v>
      </c>
      <c r="O113" s="7">
        <v>927.66000000000008</v>
      </c>
      <c r="P113" s="3">
        <f t="shared" si="4"/>
        <v>927.66000000000008</v>
      </c>
    </row>
    <row r="114" spans="1:16" x14ac:dyDescent="0.35">
      <c r="A114" t="s">
        <v>126</v>
      </c>
      <c r="B114" s="5">
        <v>44927</v>
      </c>
      <c r="C114" t="s">
        <v>1326</v>
      </c>
      <c r="D114" s="1" t="str">
        <f t="shared" si="3"/>
        <v>Laptop</v>
      </c>
      <c r="E114" t="s">
        <v>2403</v>
      </c>
      <c r="F114">
        <v>1</v>
      </c>
      <c r="G114" s="7">
        <v>410.6</v>
      </c>
      <c r="H114" s="3" t="s">
        <v>2515</v>
      </c>
      <c r="I114" s="3" t="s">
        <v>3066</v>
      </c>
      <c r="J114" s="3" t="s">
        <v>3071</v>
      </c>
      <c r="K114" s="3" t="s">
        <v>3187</v>
      </c>
      <c r="L114" s="3">
        <v>2</v>
      </c>
      <c r="M114" s="10" t="s">
        <v>4277</v>
      </c>
      <c r="N114" s="3" t="s">
        <v>4279</v>
      </c>
      <c r="O114" s="7">
        <v>410.6</v>
      </c>
      <c r="P114" s="3">
        <f t="shared" si="4"/>
        <v>410.6</v>
      </c>
    </row>
    <row r="115" spans="1:16" x14ac:dyDescent="0.35">
      <c r="A115" t="s">
        <v>127</v>
      </c>
      <c r="B115" s="5">
        <v>45308</v>
      </c>
      <c r="C115" t="s">
        <v>1327</v>
      </c>
      <c r="D115" s="1" t="str">
        <f t="shared" si="3"/>
        <v>Monitor</v>
      </c>
      <c r="E115" t="s">
        <v>2408</v>
      </c>
      <c r="F115">
        <v>5</v>
      </c>
      <c r="G115" s="7">
        <v>190.08</v>
      </c>
      <c r="H115" s="3" t="s">
        <v>2516</v>
      </c>
      <c r="I115" s="3" t="s">
        <v>3069</v>
      </c>
      <c r="J115" s="3" t="s">
        <v>3070</v>
      </c>
      <c r="K115" s="3" t="s">
        <v>3188</v>
      </c>
      <c r="L115" s="3">
        <v>9</v>
      </c>
      <c r="M115" s="10" t="s">
        <v>4276</v>
      </c>
      <c r="N115" s="3" t="s">
        <v>4278</v>
      </c>
      <c r="O115" s="7">
        <v>950.40000000000009</v>
      </c>
      <c r="P115" s="3">
        <f t="shared" si="4"/>
        <v>950.40000000000009</v>
      </c>
    </row>
    <row r="116" spans="1:16" x14ac:dyDescent="0.35">
      <c r="A116" t="s">
        <v>128</v>
      </c>
      <c r="B116" s="5">
        <v>45684</v>
      </c>
      <c r="C116" t="s">
        <v>1328</v>
      </c>
      <c r="D116" s="1" t="str">
        <f t="shared" si="3"/>
        <v>Phone</v>
      </c>
      <c r="E116" t="s">
        <v>2403</v>
      </c>
      <c r="F116">
        <v>5</v>
      </c>
      <c r="G116" s="7">
        <v>498.48</v>
      </c>
      <c r="H116" s="3" t="s">
        <v>2517</v>
      </c>
      <c r="I116" s="3" t="s">
        <v>3066</v>
      </c>
      <c r="J116" s="3" t="s">
        <v>3074</v>
      </c>
      <c r="K116" s="3" t="s">
        <v>3189</v>
      </c>
      <c r="L116" s="3">
        <v>8</v>
      </c>
      <c r="M116" s="10" t="s">
        <v>4275</v>
      </c>
      <c r="N116" s="3" t="s">
        <v>4282</v>
      </c>
      <c r="O116" s="7">
        <v>2492.4</v>
      </c>
      <c r="P116" s="3">
        <f t="shared" si="4"/>
        <v>2492.4</v>
      </c>
    </row>
    <row r="117" spans="1:16" x14ac:dyDescent="0.35">
      <c r="A117" t="s">
        <v>129</v>
      </c>
      <c r="B117" s="5">
        <v>45257</v>
      </c>
      <c r="C117" t="s">
        <v>1329</v>
      </c>
      <c r="D117" s="1" t="str">
        <f t="shared" si="3"/>
        <v>Printer</v>
      </c>
      <c r="E117" t="s">
        <v>2404</v>
      </c>
      <c r="F117">
        <v>5</v>
      </c>
      <c r="G117" s="7">
        <v>374.99</v>
      </c>
      <c r="H117" s="3" t="s">
        <v>2518</v>
      </c>
      <c r="I117" s="3" t="s">
        <v>3066</v>
      </c>
      <c r="J117" s="3" t="s">
        <v>3070</v>
      </c>
      <c r="K117" s="3" t="s">
        <v>3190</v>
      </c>
      <c r="L117" s="3">
        <v>9</v>
      </c>
      <c r="M117" s="10" t="s">
        <v>4275</v>
      </c>
      <c r="N117" s="3" t="s">
        <v>4281</v>
      </c>
      <c r="O117" s="7">
        <v>1874.95</v>
      </c>
      <c r="P117" s="3">
        <f t="shared" si="4"/>
        <v>1874.95</v>
      </c>
    </row>
    <row r="118" spans="1:16" x14ac:dyDescent="0.35">
      <c r="A118" t="s">
        <v>130</v>
      </c>
      <c r="B118" s="5">
        <v>45004</v>
      </c>
      <c r="C118" t="s">
        <v>1330</v>
      </c>
      <c r="D118" s="1" t="str">
        <f t="shared" si="3"/>
        <v>Tablet</v>
      </c>
      <c r="E118" t="s">
        <v>2407</v>
      </c>
      <c r="F118">
        <v>4</v>
      </c>
      <c r="G118" s="7">
        <v>291.35000000000002</v>
      </c>
      <c r="H118" s="3" t="s">
        <v>2519</v>
      </c>
      <c r="I118" s="3" t="s">
        <v>3067</v>
      </c>
      <c r="J118" s="3" t="s">
        <v>3071</v>
      </c>
      <c r="K118" s="3" t="s">
        <v>3191</v>
      </c>
      <c r="L118" s="3">
        <v>6</v>
      </c>
      <c r="M118" s="10" t="s">
        <v>4277</v>
      </c>
      <c r="N118" s="3" t="s">
        <v>4281</v>
      </c>
      <c r="O118" s="7">
        <v>1165.4000000000001</v>
      </c>
      <c r="P118" s="3">
        <f t="shared" si="4"/>
        <v>1165.4000000000001</v>
      </c>
    </row>
    <row r="119" spans="1:16" x14ac:dyDescent="0.35">
      <c r="A119" t="s">
        <v>131</v>
      </c>
      <c r="B119" s="5">
        <v>44993</v>
      </c>
      <c r="C119" t="s">
        <v>1331</v>
      </c>
      <c r="D119" s="1" t="str">
        <f t="shared" si="3"/>
        <v>Printer</v>
      </c>
      <c r="E119" t="s">
        <v>2405</v>
      </c>
      <c r="F119">
        <v>1</v>
      </c>
      <c r="G119" s="7">
        <v>535.5</v>
      </c>
      <c r="H119" s="3" t="s">
        <v>2520</v>
      </c>
      <c r="I119" s="3" t="s">
        <v>3068</v>
      </c>
      <c r="J119" s="3" t="s">
        <v>3071</v>
      </c>
      <c r="K119" s="3" t="s">
        <v>3192</v>
      </c>
      <c r="L119" s="3">
        <v>5</v>
      </c>
      <c r="M119" s="10" t="s">
        <v>4277</v>
      </c>
      <c r="N119" s="3" t="s">
        <v>4279</v>
      </c>
      <c r="O119" s="7">
        <v>535.5</v>
      </c>
      <c r="P119" s="3">
        <f t="shared" si="4"/>
        <v>535.5</v>
      </c>
    </row>
    <row r="120" spans="1:16" x14ac:dyDescent="0.35">
      <c r="A120" t="s">
        <v>132</v>
      </c>
      <c r="B120" s="5">
        <v>45208</v>
      </c>
      <c r="C120" t="s">
        <v>1332</v>
      </c>
      <c r="D120" s="1" t="str">
        <f t="shared" si="3"/>
        <v>Desk</v>
      </c>
      <c r="E120" t="s">
        <v>2407</v>
      </c>
      <c r="F120">
        <v>5</v>
      </c>
      <c r="G120" s="7">
        <v>502.71</v>
      </c>
      <c r="H120" s="3" t="s">
        <v>2521</v>
      </c>
      <c r="I120" s="3" t="s">
        <v>3068</v>
      </c>
      <c r="J120" s="3" t="s">
        <v>3070</v>
      </c>
      <c r="K120" s="3" t="s">
        <v>3193</v>
      </c>
      <c r="L120" s="3">
        <v>7</v>
      </c>
      <c r="M120" s="10" t="s">
        <v>4276</v>
      </c>
      <c r="N120" s="3" t="s">
        <v>4282</v>
      </c>
      <c r="O120" s="7">
        <v>2513.5500000000002</v>
      </c>
      <c r="P120" s="3">
        <f t="shared" si="4"/>
        <v>2513.5499999999997</v>
      </c>
    </row>
    <row r="121" spans="1:16" x14ac:dyDescent="0.35">
      <c r="A121" t="s">
        <v>133</v>
      </c>
      <c r="B121" s="5">
        <v>45819</v>
      </c>
      <c r="C121" t="s">
        <v>1333</v>
      </c>
      <c r="D121" s="1" t="str">
        <f t="shared" si="3"/>
        <v>Tablet</v>
      </c>
      <c r="E121" t="s">
        <v>2409</v>
      </c>
      <c r="F121">
        <v>2</v>
      </c>
      <c r="G121" s="7">
        <v>534.66999999999996</v>
      </c>
      <c r="H121" s="3" t="s">
        <v>2522</v>
      </c>
      <c r="I121" s="3" t="s">
        <v>3065</v>
      </c>
      <c r="J121" s="3" t="s">
        <v>3070</v>
      </c>
      <c r="K121" s="3" t="s">
        <v>3194</v>
      </c>
      <c r="L121" s="3">
        <v>7</v>
      </c>
      <c r="M121" s="10" t="s">
        <v>4276</v>
      </c>
      <c r="N121" s="3" t="s">
        <v>4279</v>
      </c>
      <c r="O121" s="7">
        <v>1069.3399999999999</v>
      </c>
      <c r="P121" s="3">
        <f t="shared" si="4"/>
        <v>1069.3399999999999</v>
      </c>
    </row>
    <row r="122" spans="1:16" x14ac:dyDescent="0.35">
      <c r="A122" t="s">
        <v>134</v>
      </c>
      <c r="B122" s="5">
        <v>45027</v>
      </c>
      <c r="C122" t="s">
        <v>1334</v>
      </c>
      <c r="D122" s="1" t="str">
        <f t="shared" si="3"/>
        <v>Desk</v>
      </c>
      <c r="E122" t="s">
        <v>2405</v>
      </c>
      <c r="F122">
        <v>4</v>
      </c>
      <c r="G122" s="7">
        <v>629.34</v>
      </c>
      <c r="H122" s="3" t="s">
        <v>2416</v>
      </c>
      <c r="I122" s="3" t="s">
        <v>3069</v>
      </c>
      <c r="J122" s="3" t="s">
        <v>3071</v>
      </c>
      <c r="K122" s="3" t="s">
        <v>3195</v>
      </c>
      <c r="L122" s="3">
        <v>4</v>
      </c>
      <c r="M122" s="10" t="s">
        <v>4277</v>
      </c>
      <c r="N122" s="3" t="s">
        <v>4278</v>
      </c>
      <c r="O122" s="7">
        <v>2517.36</v>
      </c>
      <c r="P122" s="3">
        <f t="shared" si="4"/>
        <v>2517.36</v>
      </c>
    </row>
    <row r="123" spans="1:16" x14ac:dyDescent="0.35">
      <c r="A123" t="s">
        <v>135</v>
      </c>
      <c r="B123" s="5">
        <v>45260</v>
      </c>
      <c r="C123" t="s">
        <v>1335</v>
      </c>
      <c r="D123" s="1" t="str">
        <f t="shared" si="3"/>
        <v>Laptop</v>
      </c>
      <c r="E123" t="s">
        <v>2409</v>
      </c>
      <c r="F123">
        <v>1</v>
      </c>
      <c r="G123" s="7">
        <v>410.78</v>
      </c>
      <c r="H123" s="3" t="s">
        <v>2523</v>
      </c>
      <c r="I123" s="3" t="s">
        <v>3069</v>
      </c>
      <c r="J123" s="3" t="s">
        <v>3071</v>
      </c>
      <c r="K123" s="3" t="s">
        <v>3196</v>
      </c>
      <c r="L123" s="3">
        <v>1</v>
      </c>
      <c r="M123" s="10" t="s">
        <v>4276</v>
      </c>
      <c r="N123" s="3" t="s">
        <v>4278</v>
      </c>
      <c r="O123" s="7">
        <v>410.78</v>
      </c>
      <c r="P123" s="3">
        <f t="shared" si="4"/>
        <v>410.78</v>
      </c>
    </row>
    <row r="124" spans="1:16" x14ac:dyDescent="0.35">
      <c r="A124" t="s">
        <v>136</v>
      </c>
      <c r="B124" s="5">
        <v>45397</v>
      </c>
      <c r="C124" t="s">
        <v>1336</v>
      </c>
      <c r="D124" s="1" t="str">
        <f t="shared" si="3"/>
        <v>Desk</v>
      </c>
      <c r="E124" t="s">
        <v>2408</v>
      </c>
      <c r="F124">
        <v>2</v>
      </c>
      <c r="G124" s="7">
        <v>533.02</v>
      </c>
      <c r="H124" s="3" t="s">
        <v>2524</v>
      </c>
      <c r="I124" s="3" t="s">
        <v>3068</v>
      </c>
      <c r="J124" s="3" t="s">
        <v>3070</v>
      </c>
      <c r="K124" s="3" t="s">
        <v>3197</v>
      </c>
      <c r="L124" s="3">
        <v>2</v>
      </c>
      <c r="N124" s="3" t="s">
        <v>4281</v>
      </c>
      <c r="O124" s="7">
        <v>1066.04</v>
      </c>
      <c r="P124" s="3">
        <f t="shared" si="4"/>
        <v>1066.04</v>
      </c>
    </row>
    <row r="125" spans="1:16" x14ac:dyDescent="0.35">
      <c r="A125" t="s">
        <v>137</v>
      </c>
      <c r="B125" s="5">
        <v>45113</v>
      </c>
      <c r="C125" t="s">
        <v>1337</v>
      </c>
      <c r="D125" s="1" t="str">
        <f t="shared" si="3"/>
        <v>Printer</v>
      </c>
      <c r="E125" t="s">
        <v>2409</v>
      </c>
      <c r="F125">
        <v>3</v>
      </c>
      <c r="G125" s="7">
        <v>278.04000000000002</v>
      </c>
      <c r="H125" s="3" t="s">
        <v>2525</v>
      </c>
      <c r="I125" s="3" t="s">
        <v>3066</v>
      </c>
      <c r="J125" s="3" t="s">
        <v>3073</v>
      </c>
      <c r="K125" s="3" t="s">
        <v>3198</v>
      </c>
      <c r="L125" s="3">
        <v>5</v>
      </c>
      <c r="N125" s="3" t="s">
        <v>4278</v>
      </c>
      <c r="O125" s="7">
        <v>834.12000000000012</v>
      </c>
      <c r="P125" s="3">
        <f t="shared" si="4"/>
        <v>834.12000000000012</v>
      </c>
    </row>
    <row r="126" spans="1:16" x14ac:dyDescent="0.35">
      <c r="A126" t="s">
        <v>138</v>
      </c>
      <c r="B126" s="5">
        <v>45501</v>
      </c>
      <c r="C126" t="s">
        <v>1338</v>
      </c>
      <c r="D126" s="1" t="str">
        <f t="shared" si="3"/>
        <v>Phone</v>
      </c>
      <c r="E126" t="s">
        <v>2407</v>
      </c>
      <c r="F126">
        <v>4</v>
      </c>
      <c r="G126" s="7">
        <v>283.79000000000002</v>
      </c>
      <c r="H126" s="3" t="s">
        <v>2526</v>
      </c>
      <c r="I126" s="3" t="s">
        <v>3066</v>
      </c>
      <c r="J126" s="3" t="s">
        <v>3074</v>
      </c>
      <c r="K126" s="3" t="s">
        <v>3199</v>
      </c>
      <c r="L126" s="3">
        <v>8</v>
      </c>
      <c r="N126" s="3" t="s">
        <v>4282</v>
      </c>
      <c r="O126" s="7">
        <v>1135.1600000000001</v>
      </c>
      <c r="P126" s="3">
        <f t="shared" si="4"/>
        <v>1135.1600000000001</v>
      </c>
    </row>
    <row r="127" spans="1:16" x14ac:dyDescent="0.35">
      <c r="A127" t="s">
        <v>139</v>
      </c>
      <c r="B127" s="5">
        <v>45602</v>
      </c>
      <c r="C127" t="s">
        <v>1339</v>
      </c>
      <c r="D127" s="1" t="str">
        <f t="shared" si="3"/>
        <v>Desk</v>
      </c>
      <c r="E127" t="s">
        <v>2404</v>
      </c>
      <c r="F127">
        <v>2</v>
      </c>
      <c r="G127" s="7">
        <v>512.65</v>
      </c>
      <c r="H127" s="3" t="s">
        <v>2527</v>
      </c>
      <c r="I127" s="3" t="s">
        <v>3067</v>
      </c>
      <c r="J127" s="3" t="s">
        <v>3070</v>
      </c>
      <c r="K127" s="3" t="s">
        <v>3200</v>
      </c>
      <c r="L127" s="3">
        <v>5</v>
      </c>
      <c r="M127" s="10" t="s">
        <v>4275</v>
      </c>
      <c r="N127" s="3" t="s">
        <v>4280</v>
      </c>
      <c r="O127" s="7">
        <v>1025.3</v>
      </c>
      <c r="P127" s="3">
        <f t="shared" si="4"/>
        <v>1025.3</v>
      </c>
    </row>
    <row r="128" spans="1:16" x14ac:dyDescent="0.35">
      <c r="A128" t="s">
        <v>140</v>
      </c>
      <c r="B128" s="5">
        <v>45780</v>
      </c>
      <c r="C128" t="s">
        <v>1340</v>
      </c>
      <c r="D128" s="1" t="str">
        <f t="shared" si="3"/>
        <v>Desk</v>
      </c>
      <c r="E128" t="s">
        <v>2409</v>
      </c>
      <c r="F128">
        <v>4</v>
      </c>
      <c r="G128" s="7">
        <v>275.5</v>
      </c>
      <c r="H128" s="3" t="s">
        <v>2528</v>
      </c>
      <c r="I128" s="3" t="s">
        <v>3068</v>
      </c>
      <c r="J128" s="3" t="s">
        <v>3070</v>
      </c>
      <c r="K128" s="3" t="s">
        <v>3201</v>
      </c>
      <c r="L128" s="3">
        <v>8</v>
      </c>
      <c r="M128" s="10" t="s">
        <v>4276</v>
      </c>
      <c r="N128" s="3" t="s">
        <v>4282</v>
      </c>
      <c r="O128" s="7">
        <v>1102</v>
      </c>
      <c r="P128" s="3">
        <f t="shared" si="4"/>
        <v>1102</v>
      </c>
    </row>
    <row r="129" spans="1:16" x14ac:dyDescent="0.35">
      <c r="A129" t="s">
        <v>141</v>
      </c>
      <c r="B129" s="5">
        <v>45148</v>
      </c>
      <c r="C129" t="s">
        <v>1341</v>
      </c>
      <c r="D129" s="1" t="str">
        <f t="shared" si="3"/>
        <v>Tablet</v>
      </c>
      <c r="E129" t="s">
        <v>2409</v>
      </c>
      <c r="F129">
        <v>3</v>
      </c>
      <c r="G129" s="7">
        <v>469.32</v>
      </c>
      <c r="H129" s="3" t="s">
        <v>2529</v>
      </c>
      <c r="I129" s="3" t="s">
        <v>3065</v>
      </c>
      <c r="J129" s="3" t="s">
        <v>3070</v>
      </c>
      <c r="K129" s="3" t="s">
        <v>3202</v>
      </c>
      <c r="L129" s="3">
        <v>3</v>
      </c>
      <c r="N129" s="3" t="s">
        <v>4282</v>
      </c>
      <c r="O129" s="7">
        <v>1407.96</v>
      </c>
      <c r="P129" s="3">
        <f t="shared" si="4"/>
        <v>1407.96</v>
      </c>
    </row>
    <row r="130" spans="1:16" x14ac:dyDescent="0.35">
      <c r="A130" t="s">
        <v>142</v>
      </c>
      <c r="B130" s="5">
        <v>44974</v>
      </c>
      <c r="C130" t="s">
        <v>1342</v>
      </c>
      <c r="D130" s="1" t="str">
        <f t="shared" ref="D130:D193" si="5">PROPER(TRIM(E131))</f>
        <v>Laptop</v>
      </c>
      <c r="E130" t="s">
        <v>2405</v>
      </c>
      <c r="F130">
        <v>4</v>
      </c>
      <c r="G130" s="7">
        <v>21.07</v>
      </c>
      <c r="H130" s="3" t="s">
        <v>2530</v>
      </c>
      <c r="I130" s="3" t="s">
        <v>3068</v>
      </c>
      <c r="J130" s="3" t="s">
        <v>3073</v>
      </c>
      <c r="K130" s="3" t="s">
        <v>3203</v>
      </c>
      <c r="L130" s="3">
        <v>4</v>
      </c>
      <c r="M130" s="10" t="s">
        <v>4276</v>
      </c>
      <c r="N130" s="3" t="s">
        <v>4282</v>
      </c>
      <c r="O130" s="7">
        <v>84.28</v>
      </c>
      <c r="P130" s="3">
        <f t="shared" si="4"/>
        <v>84.28</v>
      </c>
    </row>
    <row r="131" spans="1:16" x14ac:dyDescent="0.35">
      <c r="A131" t="s">
        <v>143</v>
      </c>
      <c r="B131" s="5">
        <v>45226</v>
      </c>
      <c r="C131" t="s">
        <v>1343</v>
      </c>
      <c r="D131" s="1" t="str">
        <f t="shared" si="5"/>
        <v>Desk</v>
      </c>
      <c r="E131" t="s">
        <v>2408</v>
      </c>
      <c r="F131">
        <v>4</v>
      </c>
      <c r="G131" s="7">
        <v>263.93</v>
      </c>
      <c r="H131" s="3" t="s">
        <v>2531</v>
      </c>
      <c r="I131" s="3" t="s">
        <v>3065</v>
      </c>
      <c r="J131" s="3" t="s">
        <v>3070</v>
      </c>
      <c r="K131" s="3" t="s">
        <v>3204</v>
      </c>
      <c r="L131" s="3">
        <v>4</v>
      </c>
      <c r="M131" s="10" t="s">
        <v>4276</v>
      </c>
      <c r="N131" s="3" t="s">
        <v>4281</v>
      </c>
      <c r="O131" s="7">
        <v>1055.72</v>
      </c>
      <c r="P131" s="3">
        <f t="shared" ref="P131:P194" si="6">G131*F131</f>
        <v>1055.72</v>
      </c>
    </row>
    <row r="132" spans="1:16" x14ac:dyDescent="0.35">
      <c r="A132" t="s">
        <v>144</v>
      </c>
      <c r="B132" s="5">
        <v>45679</v>
      </c>
      <c r="C132" t="s">
        <v>1344</v>
      </c>
      <c r="D132" s="1" t="str">
        <f t="shared" si="5"/>
        <v>Tablet</v>
      </c>
      <c r="E132" t="s">
        <v>2409</v>
      </c>
      <c r="F132">
        <v>3</v>
      </c>
      <c r="G132" s="7">
        <v>501.3</v>
      </c>
      <c r="H132" s="3" t="s">
        <v>2532</v>
      </c>
      <c r="I132" s="3" t="s">
        <v>3066</v>
      </c>
      <c r="J132" s="3" t="s">
        <v>3071</v>
      </c>
      <c r="K132" s="3" t="s">
        <v>3205</v>
      </c>
      <c r="L132" s="3">
        <v>3</v>
      </c>
      <c r="M132" s="10" t="s">
        <v>4277</v>
      </c>
      <c r="N132" s="3" t="s">
        <v>4281</v>
      </c>
      <c r="O132" s="7">
        <v>1503.9</v>
      </c>
      <c r="P132" s="3">
        <f t="shared" si="6"/>
        <v>1503.9</v>
      </c>
    </row>
    <row r="133" spans="1:16" x14ac:dyDescent="0.35">
      <c r="A133" t="s">
        <v>145</v>
      </c>
      <c r="B133" s="5">
        <v>44934</v>
      </c>
      <c r="C133" t="s">
        <v>1345</v>
      </c>
      <c r="D133" s="1" t="str">
        <f t="shared" si="5"/>
        <v>Tablet</v>
      </c>
      <c r="E133" t="s">
        <v>2405</v>
      </c>
      <c r="F133">
        <v>1</v>
      </c>
      <c r="G133" s="7">
        <v>84.8</v>
      </c>
      <c r="H133" s="3" t="s">
        <v>2533</v>
      </c>
      <c r="I133" s="3" t="s">
        <v>3068</v>
      </c>
      <c r="J133" s="3" t="s">
        <v>3074</v>
      </c>
      <c r="K133" s="3" t="s">
        <v>3206</v>
      </c>
      <c r="L133" s="3">
        <v>5</v>
      </c>
      <c r="N133" s="3" t="s">
        <v>4278</v>
      </c>
      <c r="O133" s="7">
        <v>84.8</v>
      </c>
      <c r="P133" s="3">
        <f t="shared" si="6"/>
        <v>84.8</v>
      </c>
    </row>
    <row r="134" spans="1:16" x14ac:dyDescent="0.35">
      <c r="A134" t="s">
        <v>146</v>
      </c>
      <c r="B134" s="5">
        <v>45013</v>
      </c>
      <c r="C134" t="s">
        <v>1346</v>
      </c>
      <c r="D134" s="1" t="str">
        <f t="shared" si="5"/>
        <v>Chair</v>
      </c>
      <c r="E134" t="s">
        <v>2405</v>
      </c>
      <c r="F134">
        <v>4</v>
      </c>
      <c r="G134" s="7">
        <v>450.75</v>
      </c>
      <c r="H134" s="3" t="s">
        <v>2534</v>
      </c>
      <c r="I134" s="3" t="s">
        <v>3067</v>
      </c>
      <c r="J134" s="3" t="s">
        <v>3070</v>
      </c>
      <c r="K134" s="3" t="s">
        <v>3207</v>
      </c>
      <c r="L134" s="3">
        <v>6</v>
      </c>
      <c r="M134" s="10" t="s">
        <v>4277</v>
      </c>
      <c r="N134" s="3" t="s">
        <v>4280</v>
      </c>
      <c r="O134" s="7">
        <v>1803</v>
      </c>
      <c r="P134" s="3">
        <f t="shared" si="6"/>
        <v>1803</v>
      </c>
    </row>
    <row r="135" spans="1:16" x14ac:dyDescent="0.35">
      <c r="A135" t="s">
        <v>147</v>
      </c>
      <c r="B135" s="5">
        <v>45828</v>
      </c>
      <c r="C135" t="s">
        <v>1347</v>
      </c>
      <c r="D135" s="1" t="str">
        <f t="shared" si="5"/>
        <v>Laptop</v>
      </c>
      <c r="E135" t="s">
        <v>2406</v>
      </c>
      <c r="F135">
        <v>4</v>
      </c>
      <c r="G135" s="7">
        <v>302.05</v>
      </c>
      <c r="H135" s="3" t="s">
        <v>2535</v>
      </c>
      <c r="I135" s="3" t="s">
        <v>3065</v>
      </c>
      <c r="J135" s="3" t="s">
        <v>3071</v>
      </c>
      <c r="K135" s="3" t="s">
        <v>3208</v>
      </c>
      <c r="L135" s="3">
        <v>6</v>
      </c>
      <c r="M135" s="10" t="s">
        <v>4275</v>
      </c>
      <c r="N135" s="3" t="s">
        <v>4282</v>
      </c>
      <c r="O135" s="7">
        <v>1208.2</v>
      </c>
      <c r="P135" s="3">
        <f t="shared" si="6"/>
        <v>1208.2</v>
      </c>
    </row>
    <row r="136" spans="1:16" x14ac:dyDescent="0.35">
      <c r="A136" t="s">
        <v>148</v>
      </c>
      <c r="B136" s="5">
        <v>45831</v>
      </c>
      <c r="C136" t="s">
        <v>1348</v>
      </c>
      <c r="D136" s="1" t="str">
        <f t="shared" si="5"/>
        <v>Printer</v>
      </c>
      <c r="E136" t="s">
        <v>2408</v>
      </c>
      <c r="F136">
        <v>2</v>
      </c>
      <c r="G136" s="7">
        <v>199.7</v>
      </c>
      <c r="H136" s="3" t="s">
        <v>2534</v>
      </c>
      <c r="I136" s="3" t="s">
        <v>3069</v>
      </c>
      <c r="J136" s="3" t="s">
        <v>3074</v>
      </c>
      <c r="K136" s="3" t="s">
        <v>3209</v>
      </c>
      <c r="L136" s="3">
        <v>4</v>
      </c>
      <c r="N136" s="3" t="s">
        <v>4280</v>
      </c>
      <c r="O136" s="7">
        <v>399.4</v>
      </c>
      <c r="P136" s="3">
        <f t="shared" si="6"/>
        <v>399.4</v>
      </c>
    </row>
    <row r="137" spans="1:16" x14ac:dyDescent="0.35">
      <c r="A137" t="s">
        <v>149</v>
      </c>
      <c r="B137" s="5">
        <v>45142</v>
      </c>
      <c r="C137" t="s">
        <v>1349</v>
      </c>
      <c r="D137" s="1" t="str">
        <f t="shared" si="5"/>
        <v>Laptop</v>
      </c>
      <c r="E137" t="s">
        <v>2407</v>
      </c>
      <c r="F137">
        <v>2</v>
      </c>
      <c r="G137" s="7">
        <v>68.81</v>
      </c>
      <c r="H137" s="3" t="s">
        <v>2536</v>
      </c>
      <c r="I137" s="3" t="s">
        <v>3068</v>
      </c>
      <c r="J137" s="3" t="s">
        <v>3070</v>
      </c>
      <c r="K137" s="3" t="s">
        <v>3210</v>
      </c>
      <c r="L137" s="3">
        <v>5</v>
      </c>
      <c r="M137" s="10" t="s">
        <v>4275</v>
      </c>
      <c r="N137" s="3" t="s">
        <v>4279</v>
      </c>
      <c r="O137" s="7">
        <v>137.62</v>
      </c>
      <c r="P137" s="3">
        <f t="shared" si="6"/>
        <v>137.62</v>
      </c>
    </row>
    <row r="138" spans="1:16" x14ac:dyDescent="0.35">
      <c r="A138" t="s">
        <v>150</v>
      </c>
      <c r="B138" s="5">
        <v>45409</v>
      </c>
      <c r="C138" t="s">
        <v>1350</v>
      </c>
      <c r="D138" s="1" t="str">
        <f t="shared" si="5"/>
        <v>Monitor</v>
      </c>
      <c r="E138" t="s">
        <v>2408</v>
      </c>
      <c r="F138">
        <v>1</v>
      </c>
      <c r="G138" s="7">
        <v>44.35</v>
      </c>
      <c r="H138" s="3" t="s">
        <v>2537</v>
      </c>
      <c r="I138" s="3" t="s">
        <v>3068</v>
      </c>
      <c r="J138" s="3" t="s">
        <v>3071</v>
      </c>
      <c r="K138" s="3" t="s">
        <v>3211</v>
      </c>
      <c r="L138" s="3">
        <v>1</v>
      </c>
      <c r="M138" s="10" t="s">
        <v>4275</v>
      </c>
      <c r="N138" s="3" t="s">
        <v>4278</v>
      </c>
      <c r="O138" s="7">
        <v>44.35</v>
      </c>
      <c r="P138" s="3">
        <f t="shared" si="6"/>
        <v>44.35</v>
      </c>
    </row>
    <row r="139" spans="1:16" x14ac:dyDescent="0.35">
      <c r="A139" t="s">
        <v>151</v>
      </c>
      <c r="B139" s="5">
        <v>45622</v>
      </c>
      <c r="C139" t="s">
        <v>1351</v>
      </c>
      <c r="D139" s="1" t="str">
        <f t="shared" si="5"/>
        <v>Tablet</v>
      </c>
      <c r="E139" t="s">
        <v>2403</v>
      </c>
      <c r="F139">
        <v>2</v>
      </c>
      <c r="G139" s="7">
        <v>250.98</v>
      </c>
      <c r="H139" s="3" t="s">
        <v>2538</v>
      </c>
      <c r="I139" s="3" t="s">
        <v>3067</v>
      </c>
      <c r="J139" s="3" t="s">
        <v>3073</v>
      </c>
      <c r="K139" s="3" t="s">
        <v>3212</v>
      </c>
      <c r="L139" s="3">
        <v>5</v>
      </c>
      <c r="N139" s="3" t="s">
        <v>4282</v>
      </c>
      <c r="O139" s="7">
        <v>501.96</v>
      </c>
      <c r="P139" s="3">
        <f t="shared" si="6"/>
        <v>501.96</v>
      </c>
    </row>
    <row r="140" spans="1:16" x14ac:dyDescent="0.35">
      <c r="A140" t="s">
        <v>152</v>
      </c>
      <c r="B140" s="5">
        <v>45281</v>
      </c>
      <c r="C140" t="s">
        <v>1352</v>
      </c>
      <c r="D140" s="1" t="str">
        <f t="shared" si="5"/>
        <v>Phone</v>
      </c>
      <c r="E140" t="s">
        <v>2405</v>
      </c>
      <c r="F140">
        <v>1</v>
      </c>
      <c r="G140" s="7">
        <v>298.06</v>
      </c>
      <c r="H140" s="3" t="s">
        <v>2539</v>
      </c>
      <c r="I140" s="3" t="s">
        <v>3065</v>
      </c>
      <c r="J140" s="3" t="s">
        <v>3074</v>
      </c>
      <c r="K140" s="3" t="s">
        <v>3213</v>
      </c>
      <c r="L140" s="3">
        <v>3</v>
      </c>
      <c r="M140" s="10" t="s">
        <v>4277</v>
      </c>
      <c r="N140" s="3" t="s">
        <v>4282</v>
      </c>
      <c r="O140" s="7">
        <v>298.06</v>
      </c>
      <c r="P140" s="3">
        <f t="shared" si="6"/>
        <v>298.06</v>
      </c>
    </row>
    <row r="141" spans="1:16" x14ac:dyDescent="0.35">
      <c r="A141" t="s">
        <v>153</v>
      </c>
      <c r="B141" s="5">
        <v>45026</v>
      </c>
      <c r="C141" t="s">
        <v>1353</v>
      </c>
      <c r="D141" s="1" t="str">
        <f t="shared" si="5"/>
        <v>Chair</v>
      </c>
      <c r="E141" t="s">
        <v>2404</v>
      </c>
      <c r="F141">
        <v>1</v>
      </c>
      <c r="G141" s="7">
        <v>583.9</v>
      </c>
      <c r="H141" s="3" t="s">
        <v>2540</v>
      </c>
      <c r="I141" s="3" t="s">
        <v>3069</v>
      </c>
      <c r="J141" s="3" t="s">
        <v>3072</v>
      </c>
      <c r="K141" s="3" t="s">
        <v>3214</v>
      </c>
      <c r="L141" s="3">
        <v>1</v>
      </c>
      <c r="N141" s="3" t="s">
        <v>4280</v>
      </c>
      <c r="O141" s="7">
        <v>583.9</v>
      </c>
      <c r="P141" s="3">
        <f t="shared" si="6"/>
        <v>583.9</v>
      </c>
    </row>
    <row r="142" spans="1:16" x14ac:dyDescent="0.35">
      <c r="A142" t="s">
        <v>154</v>
      </c>
      <c r="B142" s="5">
        <v>45808</v>
      </c>
      <c r="C142" t="s">
        <v>1354</v>
      </c>
      <c r="D142" s="1" t="str">
        <f t="shared" si="5"/>
        <v>Printer</v>
      </c>
      <c r="E142" t="s">
        <v>2406</v>
      </c>
      <c r="F142">
        <v>3</v>
      </c>
      <c r="G142" s="7">
        <v>528.14</v>
      </c>
      <c r="H142" s="3" t="s">
        <v>2513</v>
      </c>
      <c r="I142" s="3" t="s">
        <v>3066</v>
      </c>
      <c r="J142" s="3" t="s">
        <v>3073</v>
      </c>
      <c r="K142" s="3" t="s">
        <v>3215</v>
      </c>
      <c r="L142" s="3">
        <v>3</v>
      </c>
      <c r="M142" s="10" t="s">
        <v>4276</v>
      </c>
      <c r="N142" s="3" t="s">
        <v>4280</v>
      </c>
      <c r="O142" s="7">
        <v>1584.42</v>
      </c>
      <c r="P142" s="3">
        <f t="shared" si="6"/>
        <v>1584.42</v>
      </c>
    </row>
    <row r="143" spans="1:16" x14ac:dyDescent="0.35">
      <c r="A143" t="s">
        <v>155</v>
      </c>
      <c r="B143" s="5">
        <v>45248</v>
      </c>
      <c r="C143" t="s">
        <v>1355</v>
      </c>
      <c r="D143" s="1" t="str">
        <f t="shared" si="5"/>
        <v>Desk</v>
      </c>
      <c r="E143" t="s">
        <v>2407</v>
      </c>
      <c r="F143">
        <v>3</v>
      </c>
      <c r="G143" s="7">
        <v>684.14</v>
      </c>
      <c r="H143" s="3" t="s">
        <v>2541</v>
      </c>
      <c r="I143" s="3" t="s">
        <v>3069</v>
      </c>
      <c r="J143" s="3" t="s">
        <v>3071</v>
      </c>
      <c r="K143" s="3" t="s">
        <v>3216</v>
      </c>
      <c r="L143" s="3">
        <v>3</v>
      </c>
      <c r="M143" s="10" t="s">
        <v>4277</v>
      </c>
      <c r="N143" s="3" t="s">
        <v>4278</v>
      </c>
      <c r="O143" s="7">
        <v>2052.42</v>
      </c>
      <c r="P143" s="3">
        <f t="shared" si="6"/>
        <v>2052.42</v>
      </c>
    </row>
    <row r="144" spans="1:16" x14ac:dyDescent="0.35">
      <c r="A144" t="s">
        <v>156</v>
      </c>
      <c r="B144" s="5">
        <v>45175</v>
      </c>
      <c r="C144" t="s">
        <v>1356</v>
      </c>
      <c r="D144" s="1" t="str">
        <f t="shared" si="5"/>
        <v>Chair</v>
      </c>
      <c r="E144" t="s">
        <v>2409</v>
      </c>
      <c r="F144">
        <v>5</v>
      </c>
      <c r="G144" s="7">
        <v>272.77</v>
      </c>
      <c r="H144" s="3" t="s">
        <v>2542</v>
      </c>
      <c r="I144" s="3" t="s">
        <v>3069</v>
      </c>
      <c r="J144" s="3" t="s">
        <v>3074</v>
      </c>
      <c r="K144" s="3" t="s">
        <v>3217</v>
      </c>
      <c r="L144" s="3">
        <v>7</v>
      </c>
      <c r="M144" s="10" t="s">
        <v>4277</v>
      </c>
      <c r="N144" s="3" t="s">
        <v>4280</v>
      </c>
      <c r="O144" s="7">
        <v>1363.85</v>
      </c>
      <c r="P144" s="3">
        <f t="shared" si="6"/>
        <v>1363.85</v>
      </c>
    </row>
    <row r="145" spans="1:16" x14ac:dyDescent="0.35">
      <c r="A145" t="s">
        <v>157</v>
      </c>
      <c r="B145" s="5">
        <v>45456</v>
      </c>
      <c r="C145" t="s">
        <v>1357</v>
      </c>
      <c r="D145" s="1" t="str">
        <f t="shared" si="5"/>
        <v>Desk</v>
      </c>
      <c r="E145" t="s">
        <v>2406</v>
      </c>
      <c r="F145">
        <v>4</v>
      </c>
      <c r="G145" s="7">
        <v>400.07</v>
      </c>
      <c r="H145" s="3" t="s">
        <v>2543</v>
      </c>
      <c r="I145" s="3" t="s">
        <v>3066</v>
      </c>
      <c r="J145" s="3" t="s">
        <v>3070</v>
      </c>
      <c r="K145" s="3" t="s">
        <v>3218</v>
      </c>
      <c r="L145" s="3">
        <v>5</v>
      </c>
      <c r="N145" s="3" t="s">
        <v>4279</v>
      </c>
      <c r="O145" s="7">
        <v>1600.28</v>
      </c>
      <c r="P145" s="3">
        <f t="shared" si="6"/>
        <v>1600.28</v>
      </c>
    </row>
    <row r="146" spans="1:16" x14ac:dyDescent="0.35">
      <c r="A146" t="s">
        <v>158</v>
      </c>
      <c r="B146" s="5">
        <v>45142</v>
      </c>
      <c r="C146" t="s">
        <v>1358</v>
      </c>
      <c r="D146" s="1" t="str">
        <f t="shared" si="5"/>
        <v>Printer</v>
      </c>
      <c r="E146" t="s">
        <v>2409</v>
      </c>
      <c r="F146">
        <v>5</v>
      </c>
      <c r="G146" s="7">
        <v>219.78</v>
      </c>
      <c r="H146" s="3" t="s">
        <v>2440</v>
      </c>
      <c r="I146" s="3" t="s">
        <v>3067</v>
      </c>
      <c r="J146" s="3" t="s">
        <v>3074</v>
      </c>
      <c r="K146" s="3" t="s">
        <v>3219</v>
      </c>
      <c r="L146" s="3">
        <v>8</v>
      </c>
      <c r="N146" s="3" t="s">
        <v>4281</v>
      </c>
      <c r="O146" s="7">
        <v>1098.9000000000001</v>
      </c>
      <c r="P146" s="3">
        <f t="shared" si="6"/>
        <v>1098.9000000000001</v>
      </c>
    </row>
    <row r="147" spans="1:16" x14ac:dyDescent="0.35">
      <c r="A147" t="s">
        <v>159</v>
      </c>
      <c r="B147" s="5">
        <v>45353</v>
      </c>
      <c r="C147" t="s">
        <v>1359</v>
      </c>
      <c r="D147" s="1" t="str">
        <f t="shared" si="5"/>
        <v>Tablet</v>
      </c>
      <c r="E147" t="s">
        <v>2407</v>
      </c>
      <c r="F147">
        <v>3</v>
      </c>
      <c r="G147" s="7">
        <v>146.91</v>
      </c>
      <c r="H147" s="3" t="s">
        <v>2544</v>
      </c>
      <c r="I147" s="3" t="s">
        <v>3067</v>
      </c>
      <c r="J147" s="3" t="s">
        <v>3073</v>
      </c>
      <c r="K147" s="3" t="s">
        <v>3220</v>
      </c>
      <c r="L147" s="3">
        <v>6</v>
      </c>
      <c r="M147" s="10" t="s">
        <v>4276</v>
      </c>
      <c r="N147" s="3" t="s">
        <v>4282</v>
      </c>
      <c r="O147" s="7">
        <v>440.73</v>
      </c>
      <c r="P147" s="3">
        <f t="shared" si="6"/>
        <v>440.73</v>
      </c>
    </row>
    <row r="148" spans="1:16" x14ac:dyDescent="0.35">
      <c r="A148" t="s">
        <v>160</v>
      </c>
      <c r="B148" s="5">
        <v>45777</v>
      </c>
      <c r="C148" t="s">
        <v>1360</v>
      </c>
      <c r="D148" s="1" t="str">
        <f t="shared" si="5"/>
        <v>Laptop</v>
      </c>
      <c r="E148" t="s">
        <v>2405</v>
      </c>
      <c r="F148">
        <v>2</v>
      </c>
      <c r="G148" s="7">
        <v>411.49</v>
      </c>
      <c r="H148" s="3" t="s">
        <v>2545</v>
      </c>
      <c r="I148" s="3" t="s">
        <v>3067</v>
      </c>
      <c r="J148" s="3" t="s">
        <v>3072</v>
      </c>
      <c r="K148" s="3" t="s">
        <v>3221</v>
      </c>
      <c r="L148" s="3">
        <v>4</v>
      </c>
      <c r="N148" s="3" t="s">
        <v>4278</v>
      </c>
      <c r="O148" s="7">
        <v>822.98</v>
      </c>
      <c r="P148" s="3">
        <f t="shared" si="6"/>
        <v>822.98</v>
      </c>
    </row>
    <row r="149" spans="1:16" x14ac:dyDescent="0.35">
      <c r="A149" t="s">
        <v>161</v>
      </c>
      <c r="B149" s="5">
        <v>45783</v>
      </c>
      <c r="C149" t="s">
        <v>1361</v>
      </c>
      <c r="D149" s="1" t="str">
        <f t="shared" si="5"/>
        <v>Phone</v>
      </c>
      <c r="E149" t="s">
        <v>2408</v>
      </c>
      <c r="F149">
        <v>2</v>
      </c>
      <c r="G149" s="7">
        <v>465.18</v>
      </c>
      <c r="H149" s="3" t="s">
        <v>2546</v>
      </c>
      <c r="I149" s="3" t="s">
        <v>3067</v>
      </c>
      <c r="J149" s="3" t="s">
        <v>3071</v>
      </c>
      <c r="K149" s="3" t="s">
        <v>3222</v>
      </c>
      <c r="L149" s="3">
        <v>2</v>
      </c>
      <c r="M149" s="10" t="s">
        <v>4275</v>
      </c>
      <c r="N149" s="3" t="s">
        <v>4282</v>
      </c>
      <c r="O149" s="7">
        <v>930.36</v>
      </c>
      <c r="P149" s="3">
        <f t="shared" si="6"/>
        <v>930.36</v>
      </c>
    </row>
    <row r="150" spans="1:16" x14ac:dyDescent="0.35">
      <c r="A150" t="s">
        <v>162</v>
      </c>
      <c r="B150" s="5">
        <v>45641</v>
      </c>
      <c r="C150" t="s">
        <v>1362</v>
      </c>
      <c r="D150" s="1" t="str">
        <f t="shared" si="5"/>
        <v>Laptop</v>
      </c>
      <c r="E150" t="s">
        <v>2404</v>
      </c>
      <c r="F150">
        <v>2</v>
      </c>
      <c r="G150" s="7">
        <v>319.91000000000003</v>
      </c>
      <c r="H150" s="3" t="s">
        <v>2547</v>
      </c>
      <c r="I150" s="3" t="s">
        <v>3067</v>
      </c>
      <c r="J150" s="3" t="s">
        <v>3071</v>
      </c>
      <c r="K150" s="3" t="s">
        <v>3223</v>
      </c>
      <c r="L150" s="3">
        <v>3</v>
      </c>
      <c r="M150" s="10" t="s">
        <v>4277</v>
      </c>
      <c r="N150" s="3" t="s">
        <v>4282</v>
      </c>
      <c r="O150" s="7">
        <v>639.82000000000005</v>
      </c>
      <c r="P150" s="3">
        <f t="shared" si="6"/>
        <v>639.82000000000005</v>
      </c>
    </row>
    <row r="151" spans="1:16" x14ac:dyDescent="0.35">
      <c r="A151" t="s">
        <v>163</v>
      </c>
      <c r="B151" s="5">
        <v>45287</v>
      </c>
      <c r="C151" t="s">
        <v>1363</v>
      </c>
      <c r="D151" s="1" t="str">
        <f t="shared" si="5"/>
        <v>Phone</v>
      </c>
      <c r="E151" t="s">
        <v>2408</v>
      </c>
      <c r="F151">
        <v>1</v>
      </c>
      <c r="G151" s="7">
        <v>217.56</v>
      </c>
      <c r="H151" s="3" t="s">
        <v>2548</v>
      </c>
      <c r="I151" s="3" t="s">
        <v>3065</v>
      </c>
      <c r="J151" s="3" t="s">
        <v>3073</v>
      </c>
      <c r="K151" s="3" t="s">
        <v>3224</v>
      </c>
      <c r="L151" s="3">
        <v>3</v>
      </c>
      <c r="N151" s="3" t="s">
        <v>4281</v>
      </c>
      <c r="O151" s="7">
        <v>217.56</v>
      </c>
      <c r="P151" s="3">
        <f t="shared" si="6"/>
        <v>217.56</v>
      </c>
    </row>
    <row r="152" spans="1:16" x14ac:dyDescent="0.35">
      <c r="A152" t="s">
        <v>164</v>
      </c>
      <c r="B152" s="5">
        <v>45273</v>
      </c>
      <c r="C152" t="s">
        <v>1364</v>
      </c>
      <c r="D152" s="1" t="str">
        <f t="shared" si="5"/>
        <v>Printer</v>
      </c>
      <c r="E152" t="s">
        <v>2404</v>
      </c>
      <c r="F152">
        <v>2</v>
      </c>
      <c r="G152" s="7">
        <v>105.57</v>
      </c>
      <c r="H152" s="3" t="s">
        <v>2549</v>
      </c>
      <c r="I152" s="3" t="s">
        <v>3065</v>
      </c>
      <c r="J152" s="3" t="s">
        <v>3072</v>
      </c>
      <c r="K152" s="3" t="s">
        <v>3225</v>
      </c>
      <c r="L152" s="3">
        <v>5</v>
      </c>
      <c r="M152" s="10" t="s">
        <v>4277</v>
      </c>
      <c r="N152" s="3" t="s">
        <v>4282</v>
      </c>
      <c r="O152" s="7">
        <v>211.14</v>
      </c>
      <c r="P152" s="3">
        <f t="shared" si="6"/>
        <v>211.14</v>
      </c>
    </row>
    <row r="153" spans="1:16" x14ac:dyDescent="0.35">
      <c r="A153" t="s">
        <v>165</v>
      </c>
      <c r="B153" s="5">
        <v>45261</v>
      </c>
      <c r="C153" t="s">
        <v>1365</v>
      </c>
      <c r="D153" s="1" t="str">
        <f t="shared" si="5"/>
        <v>Chair</v>
      </c>
      <c r="E153" t="s">
        <v>2407</v>
      </c>
      <c r="F153">
        <v>5</v>
      </c>
      <c r="G153" s="7">
        <v>444.76</v>
      </c>
      <c r="H153" s="3" t="s">
        <v>2550</v>
      </c>
      <c r="I153" s="3" t="s">
        <v>3065</v>
      </c>
      <c r="J153" s="3" t="s">
        <v>3072</v>
      </c>
      <c r="K153" s="3" t="s">
        <v>3226</v>
      </c>
      <c r="L153" s="3">
        <v>7</v>
      </c>
      <c r="N153" s="3" t="s">
        <v>4280</v>
      </c>
      <c r="O153" s="7">
        <v>2223.8000000000002</v>
      </c>
      <c r="P153" s="3">
        <f t="shared" si="6"/>
        <v>2223.8000000000002</v>
      </c>
    </row>
    <row r="154" spans="1:16" x14ac:dyDescent="0.35">
      <c r="A154" t="s">
        <v>166</v>
      </c>
      <c r="B154" s="5">
        <v>45659</v>
      </c>
      <c r="C154" t="s">
        <v>1366</v>
      </c>
      <c r="D154" s="1" t="str">
        <f t="shared" si="5"/>
        <v>Chair</v>
      </c>
      <c r="E154" t="s">
        <v>2406</v>
      </c>
      <c r="F154">
        <v>2</v>
      </c>
      <c r="G154" s="7">
        <v>399.04</v>
      </c>
      <c r="H154" s="3" t="s">
        <v>2551</v>
      </c>
      <c r="I154" s="3" t="s">
        <v>3069</v>
      </c>
      <c r="J154" s="3" t="s">
        <v>3071</v>
      </c>
      <c r="K154" s="3" t="s">
        <v>3227</v>
      </c>
      <c r="L154" s="3">
        <v>3</v>
      </c>
      <c r="M154" s="10" t="s">
        <v>4276</v>
      </c>
      <c r="N154" s="3" t="s">
        <v>4279</v>
      </c>
      <c r="O154" s="7">
        <v>798.08</v>
      </c>
      <c r="P154" s="3">
        <f t="shared" si="6"/>
        <v>798.08</v>
      </c>
    </row>
    <row r="155" spans="1:16" x14ac:dyDescent="0.35">
      <c r="A155" t="s">
        <v>167</v>
      </c>
      <c r="B155" s="5">
        <v>45644</v>
      </c>
      <c r="C155" t="s">
        <v>1367</v>
      </c>
      <c r="D155" s="1" t="str">
        <f t="shared" si="5"/>
        <v>Phone</v>
      </c>
      <c r="E155" t="s">
        <v>2406</v>
      </c>
      <c r="F155">
        <v>4</v>
      </c>
      <c r="G155" s="7">
        <v>534.48</v>
      </c>
      <c r="H155" s="3" t="s">
        <v>2552</v>
      </c>
      <c r="I155" s="3" t="s">
        <v>3066</v>
      </c>
      <c r="J155" s="3" t="s">
        <v>3072</v>
      </c>
      <c r="K155" s="3" t="s">
        <v>3228</v>
      </c>
      <c r="L155" s="3">
        <v>9</v>
      </c>
      <c r="M155" s="10" t="s">
        <v>4277</v>
      </c>
      <c r="N155" s="3" t="s">
        <v>4278</v>
      </c>
      <c r="O155" s="7">
        <v>2137.92</v>
      </c>
      <c r="P155" s="3">
        <f t="shared" si="6"/>
        <v>2137.92</v>
      </c>
    </row>
    <row r="156" spans="1:16" x14ac:dyDescent="0.35">
      <c r="A156" t="s">
        <v>168</v>
      </c>
      <c r="B156" s="5">
        <v>45127</v>
      </c>
      <c r="C156" t="s">
        <v>1368</v>
      </c>
      <c r="D156" s="1" t="str">
        <f t="shared" si="5"/>
        <v>Phone</v>
      </c>
      <c r="E156" t="s">
        <v>2404</v>
      </c>
      <c r="F156">
        <v>4</v>
      </c>
      <c r="G156" s="7">
        <v>408.21</v>
      </c>
      <c r="H156" s="3" t="s">
        <v>2525</v>
      </c>
      <c r="I156" s="3" t="s">
        <v>3067</v>
      </c>
      <c r="J156" s="3" t="s">
        <v>3074</v>
      </c>
      <c r="K156" s="3" t="s">
        <v>3229</v>
      </c>
      <c r="L156" s="3">
        <v>9</v>
      </c>
      <c r="N156" s="3" t="s">
        <v>4278</v>
      </c>
      <c r="O156" s="7">
        <v>1632.84</v>
      </c>
      <c r="P156" s="3">
        <f t="shared" si="6"/>
        <v>1632.84</v>
      </c>
    </row>
    <row r="157" spans="1:16" x14ac:dyDescent="0.35">
      <c r="A157" t="s">
        <v>169</v>
      </c>
      <c r="B157" s="5">
        <v>44984</v>
      </c>
      <c r="C157" t="s">
        <v>1369</v>
      </c>
      <c r="D157" s="1" t="str">
        <f t="shared" si="5"/>
        <v>Chair</v>
      </c>
      <c r="E157" t="s">
        <v>2404</v>
      </c>
      <c r="F157">
        <v>1</v>
      </c>
      <c r="G157" s="7">
        <v>424.4</v>
      </c>
      <c r="H157" s="3" t="s">
        <v>2457</v>
      </c>
      <c r="I157" s="3" t="s">
        <v>3066</v>
      </c>
      <c r="J157" s="3" t="s">
        <v>3070</v>
      </c>
      <c r="K157" s="3" t="s">
        <v>3230</v>
      </c>
      <c r="L157" s="3">
        <v>6</v>
      </c>
      <c r="M157" s="10" t="s">
        <v>4277</v>
      </c>
      <c r="N157" s="3" t="s">
        <v>4279</v>
      </c>
      <c r="O157" s="7">
        <v>424.4</v>
      </c>
      <c r="P157" s="3">
        <f t="shared" si="6"/>
        <v>424.4</v>
      </c>
    </row>
    <row r="158" spans="1:16" x14ac:dyDescent="0.35">
      <c r="A158" t="s">
        <v>170</v>
      </c>
      <c r="B158" s="5">
        <v>45604</v>
      </c>
      <c r="C158" t="s">
        <v>1370</v>
      </c>
      <c r="D158" s="1" t="str">
        <f t="shared" si="5"/>
        <v>Monitor</v>
      </c>
      <c r="E158" t="s">
        <v>2406</v>
      </c>
      <c r="F158">
        <v>2</v>
      </c>
      <c r="G158" s="7">
        <v>269.83</v>
      </c>
      <c r="H158" s="3" t="s">
        <v>2553</v>
      </c>
      <c r="I158" s="3" t="s">
        <v>3066</v>
      </c>
      <c r="J158" s="3" t="s">
        <v>3073</v>
      </c>
      <c r="K158" s="3" t="s">
        <v>3231</v>
      </c>
      <c r="L158" s="3">
        <v>4</v>
      </c>
      <c r="M158" s="10" t="s">
        <v>4275</v>
      </c>
      <c r="N158" s="3" t="s">
        <v>4280</v>
      </c>
      <c r="O158" s="7">
        <v>539.66</v>
      </c>
      <c r="P158" s="3">
        <f t="shared" si="6"/>
        <v>539.66</v>
      </c>
    </row>
    <row r="159" spans="1:16" x14ac:dyDescent="0.35">
      <c r="A159" t="s">
        <v>171</v>
      </c>
      <c r="B159" s="5">
        <v>45709</v>
      </c>
      <c r="C159" t="s">
        <v>1371</v>
      </c>
      <c r="D159" s="1" t="str">
        <f t="shared" si="5"/>
        <v>Tablet</v>
      </c>
      <c r="E159" t="s">
        <v>2403</v>
      </c>
      <c r="F159">
        <v>2</v>
      </c>
      <c r="G159" s="7">
        <v>564.58000000000004</v>
      </c>
      <c r="H159" s="3" t="s">
        <v>2535</v>
      </c>
      <c r="I159" s="3" t="s">
        <v>3066</v>
      </c>
      <c r="J159" s="3" t="s">
        <v>3072</v>
      </c>
      <c r="K159" s="3" t="s">
        <v>3232</v>
      </c>
      <c r="L159" s="3">
        <v>4</v>
      </c>
      <c r="M159" s="10" t="s">
        <v>4277</v>
      </c>
      <c r="N159" s="3" t="s">
        <v>4281</v>
      </c>
      <c r="O159" s="7">
        <v>1129.1600000000001</v>
      </c>
      <c r="P159" s="3">
        <f t="shared" si="6"/>
        <v>1129.1600000000001</v>
      </c>
    </row>
    <row r="160" spans="1:16" x14ac:dyDescent="0.35">
      <c r="A160" t="s">
        <v>172</v>
      </c>
      <c r="B160" s="5">
        <v>45428</v>
      </c>
      <c r="C160" t="s">
        <v>1372</v>
      </c>
      <c r="D160" s="1" t="str">
        <f t="shared" si="5"/>
        <v>Printer</v>
      </c>
      <c r="E160" t="s">
        <v>2405</v>
      </c>
      <c r="F160">
        <v>1</v>
      </c>
      <c r="G160" s="7">
        <v>331.06</v>
      </c>
      <c r="H160" s="3" t="s">
        <v>2554</v>
      </c>
      <c r="I160" s="3" t="s">
        <v>3067</v>
      </c>
      <c r="J160" s="3" t="s">
        <v>3074</v>
      </c>
      <c r="K160" s="3" t="s">
        <v>3233</v>
      </c>
      <c r="L160" s="3">
        <v>5</v>
      </c>
      <c r="M160" s="10" t="s">
        <v>4277</v>
      </c>
      <c r="N160" s="3" t="s">
        <v>4278</v>
      </c>
      <c r="O160" s="7">
        <v>331.06</v>
      </c>
      <c r="P160" s="3">
        <f t="shared" si="6"/>
        <v>331.06</v>
      </c>
    </row>
    <row r="161" spans="1:16" x14ac:dyDescent="0.35">
      <c r="A161" t="s">
        <v>173</v>
      </c>
      <c r="B161" s="5">
        <v>45230</v>
      </c>
      <c r="C161" t="s">
        <v>1373</v>
      </c>
      <c r="D161" s="1" t="str">
        <f t="shared" si="5"/>
        <v>Monitor</v>
      </c>
      <c r="E161" t="s">
        <v>2407</v>
      </c>
      <c r="F161">
        <v>1</v>
      </c>
      <c r="G161" s="7">
        <v>299.35000000000002</v>
      </c>
      <c r="H161" s="3" t="s">
        <v>2555</v>
      </c>
      <c r="I161" s="3" t="s">
        <v>3067</v>
      </c>
      <c r="J161" s="3" t="s">
        <v>3071</v>
      </c>
      <c r="K161" s="3" t="s">
        <v>3234</v>
      </c>
      <c r="L161" s="3">
        <v>5</v>
      </c>
      <c r="M161" s="10" t="s">
        <v>4277</v>
      </c>
      <c r="N161" s="3" t="s">
        <v>4280</v>
      </c>
      <c r="O161" s="7">
        <v>299.35000000000002</v>
      </c>
      <c r="P161" s="3">
        <f t="shared" si="6"/>
        <v>299.35000000000002</v>
      </c>
    </row>
    <row r="162" spans="1:16" x14ac:dyDescent="0.35">
      <c r="A162" t="s">
        <v>174</v>
      </c>
      <c r="B162" s="5">
        <v>44974</v>
      </c>
      <c r="C162" t="s">
        <v>1374</v>
      </c>
      <c r="D162" s="1" t="str">
        <f t="shared" si="5"/>
        <v>Monitor</v>
      </c>
      <c r="E162" t="s">
        <v>2403</v>
      </c>
      <c r="F162">
        <v>4</v>
      </c>
      <c r="G162" s="7">
        <v>101.32</v>
      </c>
      <c r="H162" s="3" t="s">
        <v>2556</v>
      </c>
      <c r="I162" s="3" t="s">
        <v>3069</v>
      </c>
      <c r="J162" s="3" t="s">
        <v>3074</v>
      </c>
      <c r="K162" s="3" t="s">
        <v>3235</v>
      </c>
      <c r="L162" s="3">
        <v>7</v>
      </c>
      <c r="N162" s="3" t="s">
        <v>4279</v>
      </c>
      <c r="O162" s="7">
        <v>405.28</v>
      </c>
      <c r="P162" s="3">
        <f t="shared" si="6"/>
        <v>405.28</v>
      </c>
    </row>
    <row r="163" spans="1:16" x14ac:dyDescent="0.35">
      <c r="A163" t="s">
        <v>175</v>
      </c>
      <c r="B163" s="5">
        <v>45380</v>
      </c>
      <c r="C163" t="s">
        <v>1375</v>
      </c>
      <c r="D163" s="1" t="str">
        <f t="shared" si="5"/>
        <v>Chair</v>
      </c>
      <c r="E163" t="s">
        <v>2403</v>
      </c>
      <c r="F163">
        <v>1</v>
      </c>
      <c r="G163" s="7">
        <v>211.14</v>
      </c>
      <c r="H163" s="3" t="s">
        <v>2532</v>
      </c>
      <c r="I163" s="3" t="s">
        <v>3067</v>
      </c>
      <c r="J163" s="3" t="s">
        <v>3071</v>
      </c>
      <c r="K163" s="3" t="s">
        <v>3236</v>
      </c>
      <c r="L163" s="3">
        <v>1</v>
      </c>
      <c r="M163" s="10" t="s">
        <v>4275</v>
      </c>
      <c r="N163" s="3" t="s">
        <v>4281</v>
      </c>
      <c r="O163" s="7">
        <v>211.14</v>
      </c>
      <c r="P163" s="3">
        <f t="shared" si="6"/>
        <v>211.14</v>
      </c>
    </row>
    <row r="164" spans="1:16" x14ac:dyDescent="0.35">
      <c r="A164" t="s">
        <v>176</v>
      </c>
      <c r="B164" s="5">
        <v>45134</v>
      </c>
      <c r="C164" t="s">
        <v>1376</v>
      </c>
      <c r="D164" s="1" t="str">
        <f t="shared" si="5"/>
        <v>Tablet</v>
      </c>
      <c r="E164" t="s">
        <v>2406</v>
      </c>
      <c r="F164">
        <v>3</v>
      </c>
      <c r="G164" s="7">
        <v>65.86</v>
      </c>
      <c r="H164" s="3" t="s">
        <v>2479</v>
      </c>
      <c r="I164" s="3" t="s">
        <v>3066</v>
      </c>
      <c r="J164" s="3" t="s">
        <v>3074</v>
      </c>
      <c r="K164" s="3" t="s">
        <v>3237</v>
      </c>
      <c r="L164" s="3">
        <v>8</v>
      </c>
      <c r="M164" s="10" t="s">
        <v>4277</v>
      </c>
      <c r="N164" s="3" t="s">
        <v>4282</v>
      </c>
      <c r="O164" s="7">
        <v>197.58</v>
      </c>
      <c r="P164" s="3">
        <f t="shared" si="6"/>
        <v>197.57999999999998</v>
      </c>
    </row>
    <row r="165" spans="1:16" x14ac:dyDescent="0.35">
      <c r="A165" t="s">
        <v>177</v>
      </c>
      <c r="B165" s="5">
        <v>45832</v>
      </c>
      <c r="C165" t="s">
        <v>1377</v>
      </c>
      <c r="D165" s="1" t="str">
        <f t="shared" si="5"/>
        <v>Desk</v>
      </c>
      <c r="E165" t="s">
        <v>2405</v>
      </c>
      <c r="F165">
        <v>1</v>
      </c>
      <c r="G165" s="7">
        <v>641.39</v>
      </c>
      <c r="H165" s="3" t="s">
        <v>2557</v>
      </c>
      <c r="I165" s="3" t="s">
        <v>3066</v>
      </c>
      <c r="J165" s="3" t="s">
        <v>3071</v>
      </c>
      <c r="K165" s="3" t="s">
        <v>3238</v>
      </c>
      <c r="L165" s="3">
        <v>1</v>
      </c>
      <c r="N165" s="3" t="s">
        <v>4279</v>
      </c>
      <c r="O165" s="7">
        <v>641.39</v>
      </c>
      <c r="P165" s="3">
        <f t="shared" si="6"/>
        <v>641.39</v>
      </c>
    </row>
    <row r="166" spans="1:16" x14ac:dyDescent="0.35">
      <c r="A166" t="s">
        <v>178</v>
      </c>
      <c r="B166" s="5">
        <v>45288</v>
      </c>
      <c r="C166" t="s">
        <v>1378</v>
      </c>
      <c r="D166" s="1" t="str">
        <f t="shared" si="5"/>
        <v>Monitor</v>
      </c>
      <c r="E166" t="s">
        <v>2409</v>
      </c>
      <c r="F166">
        <v>5</v>
      </c>
      <c r="G166" s="7">
        <v>536.58000000000004</v>
      </c>
      <c r="H166" s="3" t="s">
        <v>2558</v>
      </c>
      <c r="I166" s="3" t="s">
        <v>3068</v>
      </c>
      <c r="J166" s="3" t="s">
        <v>3074</v>
      </c>
      <c r="K166" s="3" t="s">
        <v>3239</v>
      </c>
      <c r="L166" s="3">
        <v>5</v>
      </c>
      <c r="M166" s="10" t="s">
        <v>4275</v>
      </c>
      <c r="N166" s="3" t="s">
        <v>4282</v>
      </c>
      <c r="O166" s="7">
        <v>2682.9</v>
      </c>
      <c r="P166" s="3">
        <f t="shared" si="6"/>
        <v>2682.9</v>
      </c>
    </row>
    <row r="167" spans="1:16" x14ac:dyDescent="0.35">
      <c r="A167" t="s">
        <v>179</v>
      </c>
      <c r="B167" s="5">
        <v>45549</v>
      </c>
      <c r="C167" t="s">
        <v>1379</v>
      </c>
      <c r="D167" s="1" t="str">
        <f t="shared" si="5"/>
        <v>Chair</v>
      </c>
      <c r="E167" t="s">
        <v>2403</v>
      </c>
      <c r="F167">
        <v>2</v>
      </c>
      <c r="G167" s="7">
        <v>500.29</v>
      </c>
      <c r="H167" s="3" t="s">
        <v>2559</v>
      </c>
      <c r="I167" s="3" t="s">
        <v>3066</v>
      </c>
      <c r="J167" s="3" t="s">
        <v>3072</v>
      </c>
      <c r="K167" s="3" t="s">
        <v>3240</v>
      </c>
      <c r="L167" s="3">
        <v>7</v>
      </c>
      <c r="M167" s="10" t="s">
        <v>4277</v>
      </c>
      <c r="N167" s="3" t="s">
        <v>4282</v>
      </c>
      <c r="O167" s="7">
        <v>1000.58</v>
      </c>
      <c r="P167" s="3">
        <f t="shared" si="6"/>
        <v>1000.58</v>
      </c>
    </row>
    <row r="168" spans="1:16" x14ac:dyDescent="0.35">
      <c r="A168" t="s">
        <v>180</v>
      </c>
      <c r="B168" s="5">
        <v>45720</v>
      </c>
      <c r="C168" t="s">
        <v>1380</v>
      </c>
      <c r="D168" s="1" t="str">
        <f t="shared" si="5"/>
        <v>Chair</v>
      </c>
      <c r="E168" t="s">
        <v>2406</v>
      </c>
      <c r="F168">
        <v>3</v>
      </c>
      <c r="G168" s="7">
        <v>86.29</v>
      </c>
      <c r="H168" s="3" t="s">
        <v>2461</v>
      </c>
      <c r="I168" s="3" t="s">
        <v>3069</v>
      </c>
      <c r="J168" s="3" t="s">
        <v>3073</v>
      </c>
      <c r="K168" s="3" t="s">
        <v>3241</v>
      </c>
      <c r="L168" s="3">
        <v>6</v>
      </c>
      <c r="M168" s="10" t="s">
        <v>4277</v>
      </c>
      <c r="N168" s="3" t="s">
        <v>4278</v>
      </c>
      <c r="O168" s="7">
        <v>258.87</v>
      </c>
      <c r="P168" s="3">
        <f t="shared" si="6"/>
        <v>258.87</v>
      </c>
    </row>
    <row r="169" spans="1:16" x14ac:dyDescent="0.35">
      <c r="A169" t="s">
        <v>181</v>
      </c>
      <c r="B169" s="5">
        <v>45073</v>
      </c>
      <c r="C169" t="s">
        <v>1381</v>
      </c>
      <c r="D169" s="1" t="str">
        <f t="shared" si="5"/>
        <v>Printer</v>
      </c>
      <c r="E169" t="s">
        <v>2406</v>
      </c>
      <c r="F169">
        <v>2</v>
      </c>
      <c r="G169" s="7">
        <v>384.14</v>
      </c>
      <c r="H169" s="3" t="s">
        <v>2560</v>
      </c>
      <c r="I169" s="3" t="s">
        <v>3066</v>
      </c>
      <c r="J169" s="3" t="s">
        <v>3072</v>
      </c>
      <c r="K169" s="3" t="s">
        <v>3242</v>
      </c>
      <c r="L169" s="3">
        <v>2</v>
      </c>
      <c r="M169" s="10" t="s">
        <v>4277</v>
      </c>
      <c r="N169" s="3" t="s">
        <v>4280</v>
      </c>
      <c r="O169" s="7">
        <v>768.28</v>
      </c>
      <c r="P169" s="3">
        <f t="shared" si="6"/>
        <v>768.28</v>
      </c>
    </row>
    <row r="170" spans="1:16" x14ac:dyDescent="0.35">
      <c r="A170" t="s">
        <v>182</v>
      </c>
      <c r="B170" s="5">
        <v>45661</v>
      </c>
      <c r="C170" t="s">
        <v>1382</v>
      </c>
      <c r="D170" s="1" t="str">
        <f t="shared" si="5"/>
        <v>Printer</v>
      </c>
      <c r="E170" t="s">
        <v>2407</v>
      </c>
      <c r="F170">
        <v>1</v>
      </c>
      <c r="G170" s="7">
        <v>594.96</v>
      </c>
      <c r="H170" s="3" t="s">
        <v>2561</v>
      </c>
      <c r="I170" s="3" t="s">
        <v>3069</v>
      </c>
      <c r="J170" s="3" t="s">
        <v>3072</v>
      </c>
      <c r="K170" s="3" t="s">
        <v>3243</v>
      </c>
      <c r="L170" s="3">
        <v>6</v>
      </c>
      <c r="N170" s="3" t="s">
        <v>4281</v>
      </c>
      <c r="O170" s="7">
        <v>594.96</v>
      </c>
      <c r="P170" s="3">
        <f t="shared" si="6"/>
        <v>594.96</v>
      </c>
    </row>
    <row r="171" spans="1:16" x14ac:dyDescent="0.35">
      <c r="A171" t="s">
        <v>183</v>
      </c>
      <c r="B171" s="5">
        <v>45389</v>
      </c>
      <c r="C171" t="s">
        <v>1383</v>
      </c>
      <c r="D171" s="1" t="str">
        <f t="shared" si="5"/>
        <v>Desk</v>
      </c>
      <c r="E171" t="s">
        <v>2407</v>
      </c>
      <c r="F171">
        <v>1</v>
      </c>
      <c r="G171" s="7">
        <v>427.82</v>
      </c>
      <c r="H171" s="3" t="s">
        <v>2562</v>
      </c>
      <c r="I171" s="3" t="s">
        <v>3066</v>
      </c>
      <c r="J171" s="3" t="s">
        <v>3073</v>
      </c>
      <c r="K171" s="3" t="s">
        <v>3244</v>
      </c>
      <c r="L171" s="3">
        <v>2</v>
      </c>
      <c r="M171" s="10" t="s">
        <v>4277</v>
      </c>
      <c r="N171" s="3" t="s">
        <v>4280</v>
      </c>
      <c r="O171" s="7">
        <v>427.82</v>
      </c>
      <c r="P171" s="3">
        <f t="shared" si="6"/>
        <v>427.82</v>
      </c>
    </row>
    <row r="172" spans="1:16" x14ac:dyDescent="0.35">
      <c r="A172" t="s">
        <v>184</v>
      </c>
      <c r="B172" s="5">
        <v>45751</v>
      </c>
      <c r="C172" t="s">
        <v>1384</v>
      </c>
      <c r="D172" s="1" t="str">
        <f t="shared" si="5"/>
        <v>Tablet</v>
      </c>
      <c r="E172" t="s">
        <v>2409</v>
      </c>
      <c r="F172">
        <v>4</v>
      </c>
      <c r="G172" s="7">
        <v>662.94</v>
      </c>
      <c r="H172" s="3" t="s">
        <v>2563</v>
      </c>
      <c r="I172" s="3" t="s">
        <v>3069</v>
      </c>
      <c r="J172" s="3" t="s">
        <v>3071</v>
      </c>
      <c r="K172" s="3" t="s">
        <v>3245</v>
      </c>
      <c r="L172" s="3">
        <v>8</v>
      </c>
      <c r="M172" s="10" t="s">
        <v>4275</v>
      </c>
      <c r="N172" s="3" t="s">
        <v>4278</v>
      </c>
      <c r="O172" s="7">
        <v>2651.76</v>
      </c>
      <c r="P172" s="3">
        <f t="shared" si="6"/>
        <v>2651.76</v>
      </c>
    </row>
    <row r="173" spans="1:16" x14ac:dyDescent="0.35">
      <c r="A173" t="s">
        <v>185</v>
      </c>
      <c r="B173" s="5">
        <v>45153</v>
      </c>
      <c r="C173" t="s">
        <v>1385</v>
      </c>
      <c r="D173" s="1" t="str">
        <f t="shared" si="5"/>
        <v>Printer</v>
      </c>
      <c r="E173" t="s">
        <v>2405</v>
      </c>
      <c r="F173">
        <v>2</v>
      </c>
      <c r="G173" s="7">
        <v>148.22</v>
      </c>
      <c r="H173" s="3" t="s">
        <v>2564</v>
      </c>
      <c r="I173" s="3" t="s">
        <v>3067</v>
      </c>
      <c r="J173" s="3" t="s">
        <v>3073</v>
      </c>
      <c r="K173" s="3" t="s">
        <v>3246</v>
      </c>
      <c r="L173" s="3">
        <v>7</v>
      </c>
      <c r="M173" s="10" t="s">
        <v>4277</v>
      </c>
      <c r="N173" s="3" t="s">
        <v>4278</v>
      </c>
      <c r="O173" s="7">
        <v>296.44</v>
      </c>
      <c r="P173" s="3">
        <f t="shared" si="6"/>
        <v>296.44</v>
      </c>
    </row>
    <row r="174" spans="1:16" x14ac:dyDescent="0.35">
      <c r="A174" t="s">
        <v>186</v>
      </c>
      <c r="B174" s="5">
        <v>45753</v>
      </c>
      <c r="C174" t="s">
        <v>1386</v>
      </c>
      <c r="D174" s="1" t="str">
        <f t="shared" si="5"/>
        <v>Phone</v>
      </c>
      <c r="E174" t="s">
        <v>2407</v>
      </c>
      <c r="F174">
        <v>1</v>
      </c>
      <c r="G174" s="7">
        <v>254.12</v>
      </c>
      <c r="H174" s="3" t="s">
        <v>2529</v>
      </c>
      <c r="I174" s="3" t="s">
        <v>3066</v>
      </c>
      <c r="J174" s="3" t="s">
        <v>3073</v>
      </c>
      <c r="K174" s="3" t="s">
        <v>3247</v>
      </c>
      <c r="L174" s="3">
        <v>1</v>
      </c>
      <c r="M174" s="10" t="s">
        <v>4277</v>
      </c>
      <c r="N174" s="3" t="s">
        <v>4280</v>
      </c>
      <c r="O174" s="7">
        <v>254.12</v>
      </c>
      <c r="P174" s="3">
        <f t="shared" si="6"/>
        <v>254.12</v>
      </c>
    </row>
    <row r="175" spans="1:16" x14ac:dyDescent="0.35">
      <c r="A175" t="s">
        <v>187</v>
      </c>
      <c r="B175" s="5">
        <v>45375</v>
      </c>
      <c r="C175" t="s">
        <v>1387</v>
      </c>
      <c r="D175" s="1" t="str">
        <f t="shared" si="5"/>
        <v>Printer</v>
      </c>
      <c r="E175" t="s">
        <v>2404</v>
      </c>
      <c r="F175">
        <v>3</v>
      </c>
      <c r="G175" s="7">
        <v>664.46</v>
      </c>
      <c r="H175" s="3" t="s">
        <v>2565</v>
      </c>
      <c r="I175" s="3" t="s">
        <v>3066</v>
      </c>
      <c r="J175" s="3" t="s">
        <v>3073</v>
      </c>
      <c r="K175" s="3" t="s">
        <v>3248</v>
      </c>
      <c r="L175" s="3">
        <v>4</v>
      </c>
      <c r="M175" s="10" t="s">
        <v>4276</v>
      </c>
      <c r="N175" s="3" t="s">
        <v>4282</v>
      </c>
      <c r="O175" s="7">
        <v>1993.38</v>
      </c>
      <c r="P175" s="3">
        <f t="shared" si="6"/>
        <v>1993.38</v>
      </c>
    </row>
    <row r="176" spans="1:16" x14ac:dyDescent="0.35">
      <c r="A176" t="s">
        <v>188</v>
      </c>
      <c r="B176" s="5">
        <v>45398</v>
      </c>
      <c r="C176" t="s">
        <v>1388</v>
      </c>
      <c r="D176" s="1" t="str">
        <f t="shared" si="5"/>
        <v>Chair</v>
      </c>
      <c r="E176" t="s">
        <v>2407</v>
      </c>
      <c r="F176">
        <v>4</v>
      </c>
      <c r="G176" s="7">
        <v>600.80999999999995</v>
      </c>
      <c r="H176" s="3" t="s">
        <v>2566</v>
      </c>
      <c r="I176" s="3" t="s">
        <v>3065</v>
      </c>
      <c r="J176" s="3" t="s">
        <v>3073</v>
      </c>
      <c r="K176" s="3" t="s">
        <v>3249</v>
      </c>
      <c r="L176" s="3">
        <v>9</v>
      </c>
      <c r="M176" s="10" t="s">
        <v>4275</v>
      </c>
      <c r="N176" s="3" t="s">
        <v>4280</v>
      </c>
      <c r="O176" s="7">
        <v>2403.2399999999998</v>
      </c>
      <c r="P176" s="3">
        <f t="shared" si="6"/>
        <v>2403.2399999999998</v>
      </c>
    </row>
    <row r="177" spans="1:16" x14ac:dyDescent="0.35">
      <c r="A177" t="s">
        <v>189</v>
      </c>
      <c r="B177" s="5">
        <v>45696</v>
      </c>
      <c r="C177" t="s">
        <v>1389</v>
      </c>
      <c r="D177" s="1" t="str">
        <f t="shared" si="5"/>
        <v>Tablet</v>
      </c>
      <c r="E177" t="s">
        <v>2406</v>
      </c>
      <c r="F177">
        <v>5</v>
      </c>
      <c r="G177" s="7">
        <v>68.34</v>
      </c>
      <c r="H177" s="3" t="s">
        <v>2567</v>
      </c>
      <c r="I177" s="3" t="s">
        <v>3065</v>
      </c>
      <c r="J177" s="3" t="s">
        <v>3074</v>
      </c>
      <c r="K177" s="3" t="s">
        <v>3250</v>
      </c>
      <c r="L177" s="3">
        <v>6</v>
      </c>
      <c r="M177" s="10" t="s">
        <v>4277</v>
      </c>
      <c r="N177" s="3" t="s">
        <v>4279</v>
      </c>
      <c r="O177" s="7">
        <v>341.7</v>
      </c>
      <c r="P177" s="3">
        <f t="shared" si="6"/>
        <v>341.70000000000005</v>
      </c>
    </row>
    <row r="178" spans="1:16" x14ac:dyDescent="0.35">
      <c r="A178" t="s">
        <v>190</v>
      </c>
      <c r="B178" s="5">
        <v>45836</v>
      </c>
      <c r="C178" t="s">
        <v>1390</v>
      </c>
      <c r="D178" s="1" t="str">
        <f t="shared" si="5"/>
        <v>Chair</v>
      </c>
      <c r="E178" t="s">
        <v>2405</v>
      </c>
      <c r="F178">
        <v>4</v>
      </c>
      <c r="G178" s="7">
        <v>430.83</v>
      </c>
      <c r="H178" s="3" t="s">
        <v>2568</v>
      </c>
      <c r="I178" s="3" t="s">
        <v>3068</v>
      </c>
      <c r="J178" s="3" t="s">
        <v>3074</v>
      </c>
      <c r="K178" s="3" t="s">
        <v>3251</v>
      </c>
      <c r="L178" s="3">
        <v>8</v>
      </c>
      <c r="M178" s="10" t="s">
        <v>4277</v>
      </c>
      <c r="N178" s="3" t="s">
        <v>4279</v>
      </c>
      <c r="O178" s="7">
        <v>1723.32</v>
      </c>
      <c r="P178" s="3">
        <f t="shared" si="6"/>
        <v>1723.32</v>
      </c>
    </row>
    <row r="179" spans="1:16" x14ac:dyDescent="0.35">
      <c r="A179" t="s">
        <v>191</v>
      </c>
      <c r="B179" s="5">
        <v>45143</v>
      </c>
      <c r="C179" t="s">
        <v>1391</v>
      </c>
      <c r="D179" s="1" t="str">
        <f t="shared" si="5"/>
        <v>Chair</v>
      </c>
      <c r="E179" t="s">
        <v>2406</v>
      </c>
      <c r="F179">
        <v>5</v>
      </c>
      <c r="G179" s="7">
        <v>431.69</v>
      </c>
      <c r="H179" s="3" t="s">
        <v>2569</v>
      </c>
      <c r="I179" s="3" t="s">
        <v>3067</v>
      </c>
      <c r="J179" s="3" t="s">
        <v>3074</v>
      </c>
      <c r="K179" s="3" t="s">
        <v>3252</v>
      </c>
      <c r="L179" s="3">
        <v>10</v>
      </c>
      <c r="N179" s="3" t="s">
        <v>4281</v>
      </c>
      <c r="O179" s="7">
        <v>2158.4499999999998</v>
      </c>
      <c r="P179" s="3">
        <f t="shared" si="6"/>
        <v>2158.4499999999998</v>
      </c>
    </row>
    <row r="180" spans="1:16" x14ac:dyDescent="0.35">
      <c r="A180" t="s">
        <v>192</v>
      </c>
      <c r="B180" s="5">
        <v>45393</v>
      </c>
      <c r="C180" t="s">
        <v>1392</v>
      </c>
      <c r="D180" s="1" t="str">
        <f t="shared" si="5"/>
        <v>Laptop</v>
      </c>
      <c r="E180" t="s">
        <v>2406</v>
      </c>
      <c r="F180">
        <v>4</v>
      </c>
      <c r="G180" s="7">
        <v>512.05999999999995</v>
      </c>
      <c r="H180" s="3" t="s">
        <v>2570</v>
      </c>
      <c r="I180" s="3" t="s">
        <v>3066</v>
      </c>
      <c r="J180" s="3" t="s">
        <v>3073</v>
      </c>
      <c r="K180" s="3" t="s">
        <v>3253</v>
      </c>
      <c r="L180" s="3">
        <v>5</v>
      </c>
      <c r="M180" s="10" t="s">
        <v>4275</v>
      </c>
      <c r="N180" s="3" t="s">
        <v>4282</v>
      </c>
      <c r="O180" s="7">
        <v>2048.2399999999998</v>
      </c>
      <c r="P180" s="3">
        <f t="shared" si="6"/>
        <v>2048.2399999999998</v>
      </c>
    </row>
    <row r="181" spans="1:16" x14ac:dyDescent="0.35">
      <c r="A181" t="s">
        <v>193</v>
      </c>
      <c r="B181" s="5">
        <v>45620</v>
      </c>
      <c r="C181" t="s">
        <v>1393</v>
      </c>
      <c r="D181" s="1" t="str">
        <f t="shared" si="5"/>
        <v>Tablet</v>
      </c>
      <c r="E181" t="s">
        <v>2408</v>
      </c>
      <c r="F181">
        <v>3</v>
      </c>
      <c r="G181" s="7">
        <v>539.91</v>
      </c>
      <c r="H181" s="3" t="s">
        <v>2571</v>
      </c>
      <c r="I181" s="3" t="s">
        <v>3067</v>
      </c>
      <c r="J181" s="3" t="s">
        <v>3073</v>
      </c>
      <c r="K181" s="3" t="s">
        <v>3254</v>
      </c>
      <c r="L181" s="3">
        <v>8</v>
      </c>
      <c r="N181" s="3" t="s">
        <v>4280</v>
      </c>
      <c r="O181" s="7">
        <v>1619.73</v>
      </c>
      <c r="P181" s="3">
        <f t="shared" si="6"/>
        <v>1619.73</v>
      </c>
    </row>
    <row r="182" spans="1:16" x14ac:dyDescent="0.35">
      <c r="A182" t="s">
        <v>194</v>
      </c>
      <c r="B182" s="5">
        <v>45003</v>
      </c>
      <c r="C182" t="s">
        <v>1394</v>
      </c>
      <c r="D182" s="1" t="str">
        <f t="shared" si="5"/>
        <v>Printer</v>
      </c>
      <c r="E182" t="s">
        <v>2405</v>
      </c>
      <c r="F182">
        <v>5</v>
      </c>
      <c r="G182" s="7">
        <v>316.07</v>
      </c>
      <c r="H182" s="3" t="s">
        <v>2572</v>
      </c>
      <c r="I182" s="3" t="s">
        <v>3069</v>
      </c>
      <c r="J182" s="3" t="s">
        <v>3072</v>
      </c>
      <c r="K182" s="3" t="s">
        <v>3255</v>
      </c>
      <c r="L182" s="3">
        <v>10</v>
      </c>
      <c r="N182" s="3" t="s">
        <v>4282</v>
      </c>
      <c r="O182" s="7">
        <v>1580.35</v>
      </c>
      <c r="P182" s="3">
        <f t="shared" si="6"/>
        <v>1580.35</v>
      </c>
    </row>
    <row r="183" spans="1:16" x14ac:dyDescent="0.35">
      <c r="A183" t="s">
        <v>195</v>
      </c>
      <c r="B183" s="5">
        <v>45535</v>
      </c>
      <c r="C183" t="s">
        <v>1395</v>
      </c>
      <c r="D183" s="1" t="str">
        <f t="shared" si="5"/>
        <v>Desk</v>
      </c>
      <c r="E183" t="s">
        <v>2407</v>
      </c>
      <c r="F183">
        <v>5</v>
      </c>
      <c r="G183" s="7">
        <v>404.39</v>
      </c>
      <c r="H183" s="3" t="s">
        <v>2573</v>
      </c>
      <c r="I183" s="3" t="s">
        <v>3066</v>
      </c>
      <c r="J183" s="3" t="s">
        <v>3070</v>
      </c>
      <c r="K183" s="3" t="s">
        <v>3256</v>
      </c>
      <c r="L183" s="3">
        <v>10</v>
      </c>
      <c r="N183" s="3" t="s">
        <v>4279</v>
      </c>
      <c r="O183" s="7">
        <v>2021.95</v>
      </c>
      <c r="P183" s="3">
        <f t="shared" si="6"/>
        <v>2021.9499999999998</v>
      </c>
    </row>
    <row r="184" spans="1:16" x14ac:dyDescent="0.35">
      <c r="A184" t="s">
        <v>196</v>
      </c>
      <c r="B184" s="5">
        <v>45735</v>
      </c>
      <c r="C184" t="s">
        <v>1396</v>
      </c>
      <c r="D184" s="1" t="str">
        <f t="shared" si="5"/>
        <v>Monitor</v>
      </c>
      <c r="E184" t="s">
        <v>2409</v>
      </c>
      <c r="F184">
        <v>1</v>
      </c>
      <c r="G184" s="7">
        <v>600.54</v>
      </c>
      <c r="H184" s="3" t="s">
        <v>2574</v>
      </c>
      <c r="I184" s="3" t="s">
        <v>3065</v>
      </c>
      <c r="J184" s="3" t="s">
        <v>3074</v>
      </c>
      <c r="K184" s="3" t="s">
        <v>3257</v>
      </c>
      <c r="L184" s="3">
        <v>4</v>
      </c>
      <c r="M184" s="10" t="s">
        <v>4277</v>
      </c>
      <c r="N184" s="3" t="s">
        <v>4282</v>
      </c>
      <c r="O184" s="7">
        <v>600.54</v>
      </c>
      <c r="P184" s="3">
        <f t="shared" si="6"/>
        <v>600.54</v>
      </c>
    </row>
    <row r="185" spans="1:16" x14ac:dyDescent="0.35">
      <c r="A185" t="s">
        <v>197</v>
      </c>
      <c r="B185" s="5">
        <v>45400</v>
      </c>
      <c r="C185" t="s">
        <v>1397</v>
      </c>
      <c r="D185" s="1" t="str">
        <f t="shared" si="5"/>
        <v>Tablet</v>
      </c>
      <c r="E185" t="s">
        <v>2403</v>
      </c>
      <c r="F185">
        <v>5</v>
      </c>
      <c r="G185" s="7">
        <v>186.28</v>
      </c>
      <c r="H185" s="3" t="s">
        <v>2575</v>
      </c>
      <c r="I185" s="3" t="s">
        <v>3065</v>
      </c>
      <c r="J185" s="3" t="s">
        <v>3073</v>
      </c>
      <c r="K185" s="3" t="s">
        <v>3258</v>
      </c>
      <c r="L185" s="3">
        <v>8</v>
      </c>
      <c r="M185" s="10" t="s">
        <v>4275</v>
      </c>
      <c r="N185" s="3" t="s">
        <v>4280</v>
      </c>
      <c r="O185" s="7">
        <v>931.4</v>
      </c>
      <c r="P185" s="3">
        <f t="shared" si="6"/>
        <v>931.4</v>
      </c>
    </row>
    <row r="186" spans="1:16" x14ac:dyDescent="0.35">
      <c r="A186" t="s">
        <v>198</v>
      </c>
      <c r="B186" s="5">
        <v>45386</v>
      </c>
      <c r="C186" t="s">
        <v>1398</v>
      </c>
      <c r="D186" s="1" t="str">
        <f t="shared" si="5"/>
        <v>Laptop</v>
      </c>
      <c r="E186" t="s">
        <v>2405</v>
      </c>
      <c r="F186">
        <v>4</v>
      </c>
      <c r="G186" s="7">
        <v>214.54</v>
      </c>
      <c r="H186" s="3" t="s">
        <v>2576</v>
      </c>
      <c r="I186" s="3" t="s">
        <v>3068</v>
      </c>
      <c r="J186" s="3" t="s">
        <v>3071</v>
      </c>
      <c r="K186" s="3" t="s">
        <v>3259</v>
      </c>
      <c r="L186" s="3">
        <v>7</v>
      </c>
      <c r="N186" s="3" t="s">
        <v>4279</v>
      </c>
      <c r="O186" s="7">
        <v>858.16</v>
      </c>
      <c r="P186" s="3">
        <f t="shared" si="6"/>
        <v>858.16</v>
      </c>
    </row>
    <row r="187" spans="1:16" x14ac:dyDescent="0.35">
      <c r="A187" t="s">
        <v>199</v>
      </c>
      <c r="B187" s="5">
        <v>45690</v>
      </c>
      <c r="C187" t="s">
        <v>1399</v>
      </c>
      <c r="D187" s="1" t="str">
        <f t="shared" si="5"/>
        <v>Phone</v>
      </c>
      <c r="E187" t="s">
        <v>2408</v>
      </c>
      <c r="F187">
        <v>1</v>
      </c>
      <c r="G187" s="7">
        <v>210.7</v>
      </c>
      <c r="H187" s="3" t="s">
        <v>2577</v>
      </c>
      <c r="I187" s="3" t="s">
        <v>3066</v>
      </c>
      <c r="J187" s="3" t="s">
        <v>3070</v>
      </c>
      <c r="K187" s="3" t="s">
        <v>3260</v>
      </c>
      <c r="L187" s="3">
        <v>2</v>
      </c>
      <c r="M187" s="10" t="s">
        <v>4277</v>
      </c>
      <c r="N187" s="3" t="s">
        <v>4279</v>
      </c>
      <c r="O187" s="7">
        <v>210.7</v>
      </c>
      <c r="P187" s="3">
        <f t="shared" si="6"/>
        <v>210.7</v>
      </c>
    </row>
    <row r="188" spans="1:16" x14ac:dyDescent="0.35">
      <c r="A188" t="s">
        <v>200</v>
      </c>
      <c r="B188" s="5">
        <v>45267</v>
      </c>
      <c r="C188" t="s">
        <v>1400</v>
      </c>
      <c r="D188" s="1" t="str">
        <f t="shared" si="5"/>
        <v>Chair</v>
      </c>
      <c r="E188" t="s">
        <v>2404</v>
      </c>
      <c r="F188">
        <v>2</v>
      </c>
      <c r="G188" s="7">
        <v>133.55000000000001</v>
      </c>
      <c r="H188" s="3" t="s">
        <v>2578</v>
      </c>
      <c r="I188" s="3" t="s">
        <v>3069</v>
      </c>
      <c r="J188" s="3" t="s">
        <v>3074</v>
      </c>
      <c r="K188" s="3" t="s">
        <v>3261</v>
      </c>
      <c r="L188" s="3">
        <v>7</v>
      </c>
      <c r="M188" s="10" t="s">
        <v>4276</v>
      </c>
      <c r="N188" s="3" t="s">
        <v>4281</v>
      </c>
      <c r="O188" s="7">
        <v>267.10000000000002</v>
      </c>
      <c r="P188" s="3">
        <f t="shared" si="6"/>
        <v>267.10000000000002</v>
      </c>
    </row>
    <row r="189" spans="1:16" x14ac:dyDescent="0.35">
      <c r="A189" t="s">
        <v>201</v>
      </c>
      <c r="B189" s="5">
        <v>44965</v>
      </c>
      <c r="C189" t="s">
        <v>1401</v>
      </c>
      <c r="D189" s="1" t="str">
        <f t="shared" si="5"/>
        <v>Chair</v>
      </c>
      <c r="E189" t="s">
        <v>2406</v>
      </c>
      <c r="F189">
        <v>1</v>
      </c>
      <c r="G189" s="7">
        <v>590.87</v>
      </c>
      <c r="H189" s="3" t="s">
        <v>2579</v>
      </c>
      <c r="I189" s="3" t="s">
        <v>3068</v>
      </c>
      <c r="J189" s="3" t="s">
        <v>3072</v>
      </c>
      <c r="K189" s="3" t="s">
        <v>3262</v>
      </c>
      <c r="L189" s="3">
        <v>6</v>
      </c>
      <c r="M189" s="10" t="s">
        <v>4276</v>
      </c>
      <c r="N189" s="3" t="s">
        <v>4279</v>
      </c>
      <c r="O189" s="7">
        <v>590.87</v>
      </c>
      <c r="P189" s="3">
        <f t="shared" si="6"/>
        <v>590.87</v>
      </c>
    </row>
    <row r="190" spans="1:16" x14ac:dyDescent="0.35">
      <c r="A190" t="s">
        <v>202</v>
      </c>
      <c r="B190" s="5">
        <v>45731</v>
      </c>
      <c r="C190" t="s">
        <v>1402</v>
      </c>
      <c r="D190" s="1" t="str">
        <f t="shared" si="5"/>
        <v>Printer</v>
      </c>
      <c r="E190" t="s">
        <v>2406</v>
      </c>
      <c r="F190">
        <v>2</v>
      </c>
      <c r="G190" s="7">
        <v>363.91</v>
      </c>
      <c r="H190" s="3" t="s">
        <v>2580</v>
      </c>
      <c r="I190" s="3" t="s">
        <v>3068</v>
      </c>
      <c r="J190" s="3" t="s">
        <v>3070</v>
      </c>
      <c r="K190" s="3" t="s">
        <v>3263</v>
      </c>
      <c r="L190" s="3">
        <v>2</v>
      </c>
      <c r="M190" s="10" t="s">
        <v>4276</v>
      </c>
      <c r="N190" s="3" t="s">
        <v>4279</v>
      </c>
      <c r="O190" s="7">
        <v>727.82</v>
      </c>
      <c r="P190" s="3">
        <f t="shared" si="6"/>
        <v>727.82</v>
      </c>
    </row>
    <row r="191" spans="1:16" x14ac:dyDescent="0.35">
      <c r="A191" t="s">
        <v>203</v>
      </c>
      <c r="B191" s="5">
        <v>45112</v>
      </c>
      <c r="C191" t="s">
        <v>1403</v>
      </c>
      <c r="D191" s="1" t="str">
        <f t="shared" si="5"/>
        <v>Printer</v>
      </c>
      <c r="E191" t="s">
        <v>2407</v>
      </c>
      <c r="F191">
        <v>5</v>
      </c>
      <c r="G191" s="7">
        <v>429.45</v>
      </c>
      <c r="H191" s="3" t="s">
        <v>2581</v>
      </c>
      <c r="I191" s="3" t="s">
        <v>3068</v>
      </c>
      <c r="J191" s="3" t="s">
        <v>3071</v>
      </c>
      <c r="K191" s="3" t="s">
        <v>3264</v>
      </c>
      <c r="L191" s="3">
        <v>5</v>
      </c>
      <c r="M191" s="10" t="s">
        <v>4277</v>
      </c>
      <c r="N191" s="3" t="s">
        <v>4280</v>
      </c>
      <c r="O191" s="7">
        <v>2147.25</v>
      </c>
      <c r="P191" s="3">
        <f t="shared" si="6"/>
        <v>2147.25</v>
      </c>
    </row>
    <row r="192" spans="1:16" x14ac:dyDescent="0.35">
      <c r="A192" t="s">
        <v>204</v>
      </c>
      <c r="B192" s="5">
        <v>45535</v>
      </c>
      <c r="C192" t="s">
        <v>1404</v>
      </c>
      <c r="D192" s="1" t="str">
        <f t="shared" si="5"/>
        <v>Laptop</v>
      </c>
      <c r="E192" t="s">
        <v>2407</v>
      </c>
      <c r="F192">
        <v>3</v>
      </c>
      <c r="G192" s="7">
        <v>223.7</v>
      </c>
      <c r="H192" s="3" t="s">
        <v>2582</v>
      </c>
      <c r="I192" s="3" t="s">
        <v>3069</v>
      </c>
      <c r="J192" s="3" t="s">
        <v>3072</v>
      </c>
      <c r="K192" s="3" t="s">
        <v>3265</v>
      </c>
      <c r="L192" s="3">
        <v>3</v>
      </c>
      <c r="M192" s="10" t="s">
        <v>4275</v>
      </c>
      <c r="N192" s="3" t="s">
        <v>4280</v>
      </c>
      <c r="O192" s="7">
        <v>671.09999999999991</v>
      </c>
      <c r="P192" s="3">
        <f t="shared" si="6"/>
        <v>671.09999999999991</v>
      </c>
    </row>
    <row r="193" spans="1:16" x14ac:dyDescent="0.35">
      <c r="A193" t="s">
        <v>205</v>
      </c>
      <c r="B193" s="5">
        <v>45724</v>
      </c>
      <c r="C193" t="s">
        <v>1405</v>
      </c>
      <c r="D193" s="1" t="str">
        <f t="shared" si="5"/>
        <v>Desk</v>
      </c>
      <c r="E193" t="s">
        <v>2408</v>
      </c>
      <c r="F193">
        <v>2</v>
      </c>
      <c r="G193" s="7">
        <v>488.87</v>
      </c>
      <c r="H193" s="3" t="s">
        <v>2583</v>
      </c>
      <c r="I193" s="3" t="s">
        <v>3066</v>
      </c>
      <c r="J193" s="3" t="s">
        <v>3071</v>
      </c>
      <c r="K193" s="3" t="s">
        <v>3266</v>
      </c>
      <c r="L193" s="3">
        <v>4</v>
      </c>
      <c r="M193" s="10" t="s">
        <v>4276</v>
      </c>
      <c r="N193" s="3" t="s">
        <v>4282</v>
      </c>
      <c r="O193" s="7">
        <v>977.74</v>
      </c>
      <c r="P193" s="3">
        <f t="shared" si="6"/>
        <v>977.74</v>
      </c>
    </row>
    <row r="194" spans="1:16" x14ac:dyDescent="0.35">
      <c r="A194" t="s">
        <v>206</v>
      </c>
      <c r="B194" s="5">
        <v>45149</v>
      </c>
      <c r="C194" t="s">
        <v>1406</v>
      </c>
      <c r="D194" s="1" t="str">
        <f t="shared" ref="D194:D257" si="7">PROPER(TRIM(E195))</f>
        <v>Printer</v>
      </c>
      <c r="E194" t="s">
        <v>2409</v>
      </c>
      <c r="F194">
        <v>1</v>
      </c>
      <c r="G194" s="7">
        <v>645.46</v>
      </c>
      <c r="H194" s="3" t="s">
        <v>2541</v>
      </c>
      <c r="I194" s="3" t="s">
        <v>3068</v>
      </c>
      <c r="J194" s="3" t="s">
        <v>3071</v>
      </c>
      <c r="K194" s="3" t="s">
        <v>3267</v>
      </c>
      <c r="L194" s="3">
        <v>5</v>
      </c>
      <c r="M194" s="10" t="s">
        <v>4275</v>
      </c>
      <c r="N194" s="3" t="s">
        <v>4282</v>
      </c>
      <c r="O194" s="7">
        <v>645.46</v>
      </c>
      <c r="P194" s="3">
        <f t="shared" si="6"/>
        <v>645.46</v>
      </c>
    </row>
    <row r="195" spans="1:16" x14ac:dyDescent="0.35">
      <c r="A195" t="s">
        <v>207</v>
      </c>
      <c r="B195" s="5">
        <v>45128</v>
      </c>
      <c r="C195" t="s">
        <v>1407</v>
      </c>
      <c r="D195" s="1" t="str">
        <f t="shared" si="7"/>
        <v>Monitor</v>
      </c>
      <c r="E195" t="s">
        <v>2407</v>
      </c>
      <c r="F195">
        <v>1</v>
      </c>
      <c r="G195" s="7">
        <v>46.66</v>
      </c>
      <c r="H195" s="3" t="s">
        <v>2584</v>
      </c>
      <c r="I195" s="3" t="s">
        <v>3069</v>
      </c>
      <c r="J195" s="3" t="s">
        <v>3071</v>
      </c>
      <c r="K195" s="3" t="s">
        <v>3268</v>
      </c>
      <c r="L195" s="3">
        <v>6</v>
      </c>
      <c r="N195" s="3" t="s">
        <v>4282</v>
      </c>
      <c r="O195" s="7">
        <v>46.66</v>
      </c>
      <c r="P195" s="3">
        <f t="shared" ref="P195:P258" si="8">G195*F195</f>
        <v>46.66</v>
      </c>
    </row>
    <row r="196" spans="1:16" x14ac:dyDescent="0.35">
      <c r="A196" t="s">
        <v>208</v>
      </c>
      <c r="B196" s="5">
        <v>45451</v>
      </c>
      <c r="C196" t="s">
        <v>1408</v>
      </c>
      <c r="D196" s="1" t="str">
        <f t="shared" si="7"/>
        <v>Chair</v>
      </c>
      <c r="E196" t="s">
        <v>2403</v>
      </c>
      <c r="F196">
        <v>1</v>
      </c>
      <c r="G196" s="7">
        <v>249.57</v>
      </c>
      <c r="H196" s="3" t="s">
        <v>2585</v>
      </c>
      <c r="I196" s="3" t="s">
        <v>3069</v>
      </c>
      <c r="J196" s="3" t="s">
        <v>3070</v>
      </c>
      <c r="K196" s="3" t="s">
        <v>3269</v>
      </c>
      <c r="L196" s="3">
        <v>3</v>
      </c>
      <c r="M196" s="10" t="s">
        <v>4276</v>
      </c>
      <c r="N196" s="3" t="s">
        <v>4282</v>
      </c>
      <c r="O196" s="7">
        <v>249.57</v>
      </c>
      <c r="P196" s="3">
        <f t="shared" si="8"/>
        <v>249.57</v>
      </c>
    </row>
    <row r="197" spans="1:16" x14ac:dyDescent="0.35">
      <c r="A197" t="s">
        <v>209</v>
      </c>
      <c r="B197" s="5">
        <v>45404</v>
      </c>
      <c r="C197" t="s">
        <v>1409</v>
      </c>
      <c r="D197" s="1" t="str">
        <f t="shared" si="7"/>
        <v>Desk</v>
      </c>
      <c r="E197" t="s">
        <v>2406</v>
      </c>
      <c r="F197">
        <v>3</v>
      </c>
      <c r="G197" s="7">
        <v>619.21</v>
      </c>
      <c r="H197" s="3" t="s">
        <v>2586</v>
      </c>
      <c r="I197" s="3" t="s">
        <v>3065</v>
      </c>
      <c r="J197" s="3" t="s">
        <v>3071</v>
      </c>
      <c r="K197" s="3" t="s">
        <v>3270</v>
      </c>
      <c r="L197" s="3">
        <v>6</v>
      </c>
      <c r="N197" s="3" t="s">
        <v>4280</v>
      </c>
      <c r="O197" s="7">
        <v>1857.63</v>
      </c>
      <c r="P197" s="3">
        <f t="shared" si="8"/>
        <v>1857.63</v>
      </c>
    </row>
    <row r="198" spans="1:16" x14ac:dyDescent="0.35">
      <c r="A198" t="s">
        <v>210</v>
      </c>
      <c r="B198" s="5">
        <v>45681</v>
      </c>
      <c r="C198" t="s">
        <v>1410</v>
      </c>
      <c r="D198" s="1" t="str">
        <f t="shared" si="7"/>
        <v>Laptop</v>
      </c>
      <c r="E198" t="s">
        <v>2409</v>
      </c>
      <c r="F198">
        <v>4</v>
      </c>
      <c r="G198" s="7">
        <v>217.13</v>
      </c>
      <c r="H198" s="3" t="s">
        <v>2587</v>
      </c>
      <c r="I198" s="3" t="s">
        <v>3069</v>
      </c>
      <c r="J198" s="3" t="s">
        <v>3073</v>
      </c>
      <c r="K198" s="3" t="s">
        <v>3271</v>
      </c>
      <c r="L198" s="3">
        <v>8</v>
      </c>
      <c r="M198" s="10" t="s">
        <v>4277</v>
      </c>
      <c r="N198" s="3" t="s">
        <v>4280</v>
      </c>
      <c r="O198" s="7">
        <v>868.52</v>
      </c>
      <c r="P198" s="3">
        <f t="shared" si="8"/>
        <v>868.52</v>
      </c>
    </row>
    <row r="199" spans="1:16" x14ac:dyDescent="0.35">
      <c r="A199" t="s">
        <v>211</v>
      </c>
      <c r="B199" s="5">
        <v>45165</v>
      </c>
      <c r="C199" t="s">
        <v>1411</v>
      </c>
      <c r="D199" s="1" t="str">
        <f t="shared" si="7"/>
        <v>Laptop</v>
      </c>
      <c r="E199" t="s">
        <v>2408</v>
      </c>
      <c r="F199">
        <v>5</v>
      </c>
      <c r="G199" s="7">
        <v>221.51</v>
      </c>
      <c r="H199" s="3" t="s">
        <v>2588</v>
      </c>
      <c r="I199" s="3" t="s">
        <v>3069</v>
      </c>
      <c r="J199" s="3" t="s">
        <v>3072</v>
      </c>
      <c r="K199" s="3" t="s">
        <v>3272</v>
      </c>
      <c r="L199" s="3">
        <v>5</v>
      </c>
      <c r="M199" s="10" t="s">
        <v>4277</v>
      </c>
      <c r="N199" s="3" t="s">
        <v>4279</v>
      </c>
      <c r="O199" s="7">
        <v>1107.55</v>
      </c>
      <c r="P199" s="3">
        <f t="shared" si="8"/>
        <v>1107.55</v>
      </c>
    </row>
    <row r="200" spans="1:16" x14ac:dyDescent="0.35">
      <c r="A200" t="s">
        <v>212</v>
      </c>
      <c r="B200" s="5">
        <v>45454</v>
      </c>
      <c r="C200" t="s">
        <v>1412</v>
      </c>
      <c r="D200" s="1" t="str">
        <f t="shared" si="7"/>
        <v>Phone</v>
      </c>
      <c r="E200" t="s">
        <v>2408</v>
      </c>
      <c r="F200">
        <v>4</v>
      </c>
      <c r="G200" s="7">
        <v>340.3</v>
      </c>
      <c r="H200" s="3" t="s">
        <v>2444</v>
      </c>
      <c r="I200" s="3" t="s">
        <v>3069</v>
      </c>
      <c r="J200" s="3" t="s">
        <v>3071</v>
      </c>
      <c r="K200" s="3" t="s">
        <v>3273</v>
      </c>
      <c r="L200" s="3">
        <v>8</v>
      </c>
      <c r="M200" s="10" t="s">
        <v>4275</v>
      </c>
      <c r="N200" s="3" t="s">
        <v>4279</v>
      </c>
      <c r="O200" s="7">
        <v>1361.2</v>
      </c>
      <c r="P200" s="3">
        <f t="shared" si="8"/>
        <v>1361.2</v>
      </c>
    </row>
    <row r="201" spans="1:16" x14ac:dyDescent="0.35">
      <c r="A201" t="s">
        <v>213</v>
      </c>
      <c r="B201" s="5">
        <v>45680</v>
      </c>
      <c r="C201" t="s">
        <v>1413</v>
      </c>
      <c r="D201" s="1" t="str">
        <f t="shared" si="7"/>
        <v>Tablet</v>
      </c>
      <c r="E201" t="s">
        <v>2404</v>
      </c>
      <c r="F201">
        <v>1</v>
      </c>
      <c r="G201" s="7">
        <v>625</v>
      </c>
      <c r="H201" s="3" t="s">
        <v>2589</v>
      </c>
      <c r="I201" s="3" t="s">
        <v>3066</v>
      </c>
      <c r="J201" s="3" t="s">
        <v>3072</v>
      </c>
      <c r="K201" s="3" t="s">
        <v>3274</v>
      </c>
      <c r="L201" s="3">
        <v>5</v>
      </c>
      <c r="M201" s="10" t="s">
        <v>4277</v>
      </c>
      <c r="N201" s="3" t="s">
        <v>4282</v>
      </c>
      <c r="O201" s="7">
        <v>625</v>
      </c>
      <c r="P201" s="3">
        <f t="shared" si="8"/>
        <v>625</v>
      </c>
    </row>
    <row r="202" spans="1:16" x14ac:dyDescent="0.35">
      <c r="A202" t="s">
        <v>214</v>
      </c>
      <c r="B202" s="5">
        <v>45815</v>
      </c>
      <c r="C202" t="s">
        <v>1414</v>
      </c>
      <c r="D202" s="1" t="str">
        <f t="shared" si="7"/>
        <v>Monitor</v>
      </c>
      <c r="E202" t="s">
        <v>2405</v>
      </c>
      <c r="F202">
        <v>5</v>
      </c>
      <c r="G202" s="7">
        <v>433.26</v>
      </c>
      <c r="H202" s="3" t="s">
        <v>2440</v>
      </c>
      <c r="I202" s="3" t="s">
        <v>3067</v>
      </c>
      <c r="J202" s="3" t="s">
        <v>3073</v>
      </c>
      <c r="K202" s="3" t="s">
        <v>3275</v>
      </c>
      <c r="L202" s="3">
        <v>9</v>
      </c>
      <c r="M202" s="10" t="s">
        <v>4275</v>
      </c>
      <c r="N202" s="3" t="s">
        <v>4282</v>
      </c>
      <c r="O202" s="7">
        <v>2166.3000000000002</v>
      </c>
      <c r="P202" s="3">
        <f t="shared" si="8"/>
        <v>2166.3000000000002</v>
      </c>
    </row>
    <row r="203" spans="1:16" x14ac:dyDescent="0.35">
      <c r="A203" t="s">
        <v>215</v>
      </c>
      <c r="B203" s="5">
        <v>45095</v>
      </c>
      <c r="C203" t="s">
        <v>1415</v>
      </c>
      <c r="D203" s="1" t="str">
        <f t="shared" si="7"/>
        <v>Monitor</v>
      </c>
      <c r="E203" t="s">
        <v>2403</v>
      </c>
      <c r="F203">
        <v>2</v>
      </c>
      <c r="G203" s="7">
        <v>674.9</v>
      </c>
      <c r="H203" s="3" t="s">
        <v>2482</v>
      </c>
      <c r="I203" s="3" t="s">
        <v>3066</v>
      </c>
      <c r="J203" s="3" t="s">
        <v>3070</v>
      </c>
      <c r="K203" s="3" t="s">
        <v>3276</v>
      </c>
      <c r="L203" s="3">
        <v>4</v>
      </c>
      <c r="M203" s="10" t="s">
        <v>4275</v>
      </c>
      <c r="N203" s="3" t="s">
        <v>4281</v>
      </c>
      <c r="O203" s="7">
        <v>1349.8</v>
      </c>
      <c r="P203" s="3">
        <f t="shared" si="8"/>
        <v>1349.8</v>
      </c>
    </row>
    <row r="204" spans="1:16" x14ac:dyDescent="0.35">
      <c r="A204" t="s">
        <v>216</v>
      </c>
      <c r="B204" s="5">
        <v>45694</v>
      </c>
      <c r="C204" t="s">
        <v>1416</v>
      </c>
      <c r="D204" s="1" t="str">
        <f t="shared" si="7"/>
        <v>Printer</v>
      </c>
      <c r="E204" t="s">
        <v>2403</v>
      </c>
      <c r="F204">
        <v>3</v>
      </c>
      <c r="G204" s="7">
        <v>253.98</v>
      </c>
      <c r="H204" s="3" t="s">
        <v>2535</v>
      </c>
      <c r="I204" s="3" t="s">
        <v>3067</v>
      </c>
      <c r="J204" s="3" t="s">
        <v>3071</v>
      </c>
      <c r="K204" s="3" t="s">
        <v>3277</v>
      </c>
      <c r="L204" s="3">
        <v>3</v>
      </c>
      <c r="M204" s="10" t="s">
        <v>4276</v>
      </c>
      <c r="N204" s="3" t="s">
        <v>4280</v>
      </c>
      <c r="O204" s="7">
        <v>761.93999999999994</v>
      </c>
      <c r="P204" s="3">
        <f t="shared" si="8"/>
        <v>761.93999999999994</v>
      </c>
    </row>
    <row r="205" spans="1:16" x14ac:dyDescent="0.35">
      <c r="A205" t="s">
        <v>217</v>
      </c>
      <c r="B205" s="5">
        <v>45678</v>
      </c>
      <c r="C205" t="s">
        <v>1417</v>
      </c>
      <c r="D205" s="1" t="str">
        <f t="shared" si="7"/>
        <v>Laptop</v>
      </c>
      <c r="E205" t="s">
        <v>2407</v>
      </c>
      <c r="F205">
        <v>3</v>
      </c>
      <c r="G205" s="7">
        <v>356.84</v>
      </c>
      <c r="H205" s="3" t="s">
        <v>2590</v>
      </c>
      <c r="I205" s="3" t="s">
        <v>3066</v>
      </c>
      <c r="J205" s="3" t="s">
        <v>3070</v>
      </c>
      <c r="K205" s="3" t="s">
        <v>3278</v>
      </c>
      <c r="L205" s="3">
        <v>5</v>
      </c>
      <c r="M205" s="10" t="s">
        <v>4275</v>
      </c>
      <c r="N205" s="3" t="s">
        <v>4278</v>
      </c>
      <c r="O205" s="7">
        <v>1070.52</v>
      </c>
      <c r="P205" s="3">
        <f t="shared" si="8"/>
        <v>1070.52</v>
      </c>
    </row>
    <row r="206" spans="1:16" x14ac:dyDescent="0.35">
      <c r="A206" t="s">
        <v>218</v>
      </c>
      <c r="B206" s="5">
        <v>45174</v>
      </c>
      <c r="C206" t="s">
        <v>1418</v>
      </c>
      <c r="D206" s="1" t="str">
        <f t="shared" si="7"/>
        <v>Desk</v>
      </c>
      <c r="E206" t="s">
        <v>2408</v>
      </c>
      <c r="F206">
        <v>4</v>
      </c>
      <c r="G206" s="7">
        <v>413.71</v>
      </c>
      <c r="H206" s="3" t="s">
        <v>2539</v>
      </c>
      <c r="I206" s="3" t="s">
        <v>3068</v>
      </c>
      <c r="J206" s="3" t="s">
        <v>3071</v>
      </c>
      <c r="K206" s="3" t="s">
        <v>3279</v>
      </c>
      <c r="L206" s="3">
        <v>9</v>
      </c>
      <c r="M206" s="10" t="s">
        <v>4276</v>
      </c>
      <c r="N206" s="3" t="s">
        <v>4281</v>
      </c>
      <c r="O206" s="7">
        <v>1654.84</v>
      </c>
      <c r="P206" s="3">
        <f t="shared" si="8"/>
        <v>1654.84</v>
      </c>
    </row>
    <row r="207" spans="1:16" x14ac:dyDescent="0.35">
      <c r="A207" t="s">
        <v>219</v>
      </c>
      <c r="B207" s="5">
        <v>44989</v>
      </c>
      <c r="C207" t="s">
        <v>1419</v>
      </c>
      <c r="D207" s="1" t="str">
        <f t="shared" si="7"/>
        <v>Laptop</v>
      </c>
      <c r="E207" t="s">
        <v>2409</v>
      </c>
      <c r="F207">
        <v>3</v>
      </c>
      <c r="G207" s="7">
        <v>147.38999999999999</v>
      </c>
      <c r="H207" s="3" t="s">
        <v>2591</v>
      </c>
      <c r="I207" s="3" t="s">
        <v>3065</v>
      </c>
      <c r="J207" s="3" t="s">
        <v>3072</v>
      </c>
      <c r="K207" s="3" t="s">
        <v>3280</v>
      </c>
      <c r="L207" s="3">
        <v>3</v>
      </c>
      <c r="N207" s="3" t="s">
        <v>4280</v>
      </c>
      <c r="O207" s="7">
        <v>442.17</v>
      </c>
      <c r="P207" s="3">
        <f t="shared" si="8"/>
        <v>442.16999999999996</v>
      </c>
    </row>
    <row r="208" spans="1:16" x14ac:dyDescent="0.35">
      <c r="A208" t="s">
        <v>220</v>
      </c>
      <c r="B208" s="5">
        <v>45398</v>
      </c>
      <c r="C208" t="s">
        <v>1420</v>
      </c>
      <c r="D208" s="1" t="str">
        <f t="shared" si="7"/>
        <v>Phone</v>
      </c>
      <c r="E208" t="s">
        <v>2408</v>
      </c>
      <c r="F208">
        <v>4</v>
      </c>
      <c r="G208" s="7">
        <v>229.1</v>
      </c>
      <c r="H208" s="3" t="s">
        <v>2592</v>
      </c>
      <c r="I208" s="3" t="s">
        <v>3068</v>
      </c>
      <c r="J208" s="3" t="s">
        <v>3072</v>
      </c>
      <c r="K208" s="3" t="s">
        <v>3281</v>
      </c>
      <c r="L208" s="3">
        <v>8</v>
      </c>
      <c r="M208" s="10" t="s">
        <v>4277</v>
      </c>
      <c r="N208" s="3" t="s">
        <v>4280</v>
      </c>
      <c r="O208" s="7">
        <v>916.4</v>
      </c>
      <c r="P208" s="3">
        <f t="shared" si="8"/>
        <v>916.4</v>
      </c>
    </row>
    <row r="209" spans="1:16" x14ac:dyDescent="0.35">
      <c r="A209" t="s">
        <v>221</v>
      </c>
      <c r="B209" s="5">
        <v>45734</v>
      </c>
      <c r="C209" t="s">
        <v>1421</v>
      </c>
      <c r="D209" s="1" t="str">
        <f t="shared" si="7"/>
        <v>Desk</v>
      </c>
      <c r="E209" t="s">
        <v>2404</v>
      </c>
      <c r="F209">
        <v>1</v>
      </c>
      <c r="G209" s="7">
        <v>121.96</v>
      </c>
      <c r="H209" s="3" t="s">
        <v>2593</v>
      </c>
      <c r="I209" s="3" t="s">
        <v>3065</v>
      </c>
      <c r="J209" s="3" t="s">
        <v>3073</v>
      </c>
      <c r="K209" s="3" t="s">
        <v>3282</v>
      </c>
      <c r="L209" s="3">
        <v>3</v>
      </c>
      <c r="N209" s="3" t="s">
        <v>4282</v>
      </c>
      <c r="O209" s="7">
        <v>121.96</v>
      </c>
      <c r="P209" s="3">
        <f t="shared" si="8"/>
        <v>121.96</v>
      </c>
    </row>
    <row r="210" spans="1:16" x14ac:dyDescent="0.35">
      <c r="A210" t="s">
        <v>222</v>
      </c>
      <c r="B210" s="5">
        <v>45573</v>
      </c>
      <c r="C210" t="s">
        <v>1422</v>
      </c>
      <c r="D210" s="1" t="str">
        <f t="shared" si="7"/>
        <v>Tablet</v>
      </c>
      <c r="E210" t="s">
        <v>2409</v>
      </c>
      <c r="F210">
        <v>2</v>
      </c>
      <c r="G210" s="7">
        <v>408.32</v>
      </c>
      <c r="H210" s="3" t="s">
        <v>2581</v>
      </c>
      <c r="I210" s="3" t="s">
        <v>3066</v>
      </c>
      <c r="J210" s="3" t="s">
        <v>3070</v>
      </c>
      <c r="K210" s="3" t="s">
        <v>3283</v>
      </c>
      <c r="L210" s="3">
        <v>3</v>
      </c>
      <c r="M210" s="10" t="s">
        <v>4276</v>
      </c>
      <c r="N210" s="3" t="s">
        <v>4281</v>
      </c>
      <c r="O210" s="7">
        <v>816.64</v>
      </c>
      <c r="P210" s="3">
        <f t="shared" si="8"/>
        <v>816.64</v>
      </c>
    </row>
    <row r="211" spans="1:16" x14ac:dyDescent="0.35">
      <c r="A211" t="s">
        <v>223</v>
      </c>
      <c r="B211" s="5">
        <v>45167</v>
      </c>
      <c r="C211" t="s">
        <v>1423</v>
      </c>
      <c r="D211" s="1" t="str">
        <f t="shared" si="7"/>
        <v>Chair</v>
      </c>
      <c r="E211" t="s">
        <v>2405</v>
      </c>
      <c r="F211">
        <v>5</v>
      </c>
      <c r="G211" s="7">
        <v>187.97</v>
      </c>
      <c r="H211" s="3" t="s">
        <v>2417</v>
      </c>
      <c r="I211" s="3" t="s">
        <v>3069</v>
      </c>
      <c r="J211" s="3" t="s">
        <v>3072</v>
      </c>
      <c r="K211" s="3" t="s">
        <v>3284</v>
      </c>
      <c r="L211" s="3">
        <v>9</v>
      </c>
      <c r="M211" s="10" t="s">
        <v>4275</v>
      </c>
      <c r="N211" s="3" t="s">
        <v>4282</v>
      </c>
      <c r="O211" s="7">
        <v>939.85</v>
      </c>
      <c r="P211" s="3">
        <f t="shared" si="8"/>
        <v>939.85</v>
      </c>
    </row>
    <row r="212" spans="1:16" x14ac:dyDescent="0.35">
      <c r="A212" t="s">
        <v>224</v>
      </c>
      <c r="B212" s="5">
        <v>45631</v>
      </c>
      <c r="C212" t="s">
        <v>1424</v>
      </c>
      <c r="D212" s="1" t="str">
        <f t="shared" si="7"/>
        <v>Printer</v>
      </c>
      <c r="E212" t="s">
        <v>2406</v>
      </c>
      <c r="F212">
        <v>3</v>
      </c>
      <c r="G212" s="7">
        <v>358.48</v>
      </c>
      <c r="H212" s="3" t="s">
        <v>2532</v>
      </c>
      <c r="I212" s="3" t="s">
        <v>3068</v>
      </c>
      <c r="J212" s="3" t="s">
        <v>3073</v>
      </c>
      <c r="K212" s="3" t="s">
        <v>3285</v>
      </c>
      <c r="L212" s="3">
        <v>7</v>
      </c>
      <c r="M212" s="10" t="s">
        <v>4276</v>
      </c>
      <c r="N212" s="3" t="s">
        <v>4281</v>
      </c>
      <c r="O212" s="7">
        <v>1075.44</v>
      </c>
      <c r="P212" s="3">
        <f t="shared" si="8"/>
        <v>1075.44</v>
      </c>
    </row>
    <row r="213" spans="1:16" x14ac:dyDescent="0.35">
      <c r="A213" t="s">
        <v>225</v>
      </c>
      <c r="B213" s="5">
        <v>45660</v>
      </c>
      <c r="C213" t="s">
        <v>1425</v>
      </c>
      <c r="D213" s="1" t="str">
        <f t="shared" si="7"/>
        <v>Monitor</v>
      </c>
      <c r="E213" t="s">
        <v>2407</v>
      </c>
      <c r="F213">
        <v>3</v>
      </c>
      <c r="G213" s="7">
        <v>193.58</v>
      </c>
      <c r="H213" s="3" t="s">
        <v>2594</v>
      </c>
      <c r="I213" s="3" t="s">
        <v>3068</v>
      </c>
      <c r="J213" s="3" t="s">
        <v>3074</v>
      </c>
      <c r="K213" s="3" t="s">
        <v>3286</v>
      </c>
      <c r="L213" s="3">
        <v>7</v>
      </c>
      <c r="M213" s="10" t="s">
        <v>4276</v>
      </c>
      <c r="N213" s="3" t="s">
        <v>4280</v>
      </c>
      <c r="O213" s="7">
        <v>580.74</v>
      </c>
      <c r="P213" s="3">
        <f t="shared" si="8"/>
        <v>580.74</v>
      </c>
    </row>
    <row r="214" spans="1:16" x14ac:dyDescent="0.35">
      <c r="A214" t="s">
        <v>226</v>
      </c>
      <c r="B214" s="5">
        <v>45097</v>
      </c>
      <c r="C214" t="s">
        <v>1426</v>
      </c>
      <c r="D214" s="1" t="str">
        <f t="shared" si="7"/>
        <v>Laptop</v>
      </c>
      <c r="E214" t="s">
        <v>2403</v>
      </c>
      <c r="F214">
        <v>1</v>
      </c>
      <c r="G214" s="7">
        <v>265.38</v>
      </c>
      <c r="H214" s="3" t="s">
        <v>2595</v>
      </c>
      <c r="I214" s="3" t="s">
        <v>3067</v>
      </c>
      <c r="J214" s="3" t="s">
        <v>3071</v>
      </c>
      <c r="K214" s="3" t="s">
        <v>3287</v>
      </c>
      <c r="L214" s="3">
        <v>6</v>
      </c>
      <c r="M214" s="10" t="s">
        <v>4277</v>
      </c>
      <c r="N214" s="3" t="s">
        <v>4280</v>
      </c>
      <c r="O214" s="7">
        <v>265.38</v>
      </c>
      <c r="P214" s="3">
        <f t="shared" si="8"/>
        <v>265.38</v>
      </c>
    </row>
    <row r="215" spans="1:16" x14ac:dyDescent="0.35">
      <c r="A215" t="s">
        <v>227</v>
      </c>
      <c r="B215" s="5">
        <v>45036</v>
      </c>
      <c r="C215" t="s">
        <v>1427</v>
      </c>
      <c r="D215" s="1" t="str">
        <f t="shared" si="7"/>
        <v>Desk</v>
      </c>
      <c r="E215" t="s">
        <v>2408</v>
      </c>
      <c r="F215">
        <v>1</v>
      </c>
      <c r="G215" s="7">
        <v>634.4</v>
      </c>
      <c r="H215" s="3" t="s">
        <v>2596</v>
      </c>
      <c r="I215" s="3" t="s">
        <v>3069</v>
      </c>
      <c r="J215" s="3" t="s">
        <v>3071</v>
      </c>
      <c r="K215" s="3" t="s">
        <v>3288</v>
      </c>
      <c r="L215" s="3">
        <v>6</v>
      </c>
      <c r="M215" s="10" t="s">
        <v>4275</v>
      </c>
      <c r="N215" s="3" t="s">
        <v>4280</v>
      </c>
      <c r="O215" s="7">
        <v>634.4</v>
      </c>
      <c r="P215" s="3">
        <f t="shared" si="8"/>
        <v>634.4</v>
      </c>
    </row>
    <row r="216" spans="1:16" x14ac:dyDescent="0.35">
      <c r="A216" t="s">
        <v>228</v>
      </c>
      <c r="B216" s="5">
        <v>45525</v>
      </c>
      <c r="C216" t="s">
        <v>1428</v>
      </c>
      <c r="D216" s="1" t="str">
        <f t="shared" si="7"/>
        <v>Printer</v>
      </c>
      <c r="E216" t="s">
        <v>2409</v>
      </c>
      <c r="F216">
        <v>4</v>
      </c>
      <c r="G216" s="7">
        <v>305.72000000000003</v>
      </c>
      <c r="H216" s="3" t="s">
        <v>2523</v>
      </c>
      <c r="I216" s="3" t="s">
        <v>3066</v>
      </c>
      <c r="J216" s="3" t="s">
        <v>3073</v>
      </c>
      <c r="K216" s="3" t="s">
        <v>3289</v>
      </c>
      <c r="L216" s="3">
        <v>5</v>
      </c>
      <c r="N216" s="3" t="s">
        <v>4281</v>
      </c>
      <c r="O216" s="7">
        <v>1222.8800000000001</v>
      </c>
      <c r="P216" s="3">
        <f t="shared" si="8"/>
        <v>1222.8800000000001</v>
      </c>
    </row>
    <row r="217" spans="1:16" x14ac:dyDescent="0.35">
      <c r="A217" t="s">
        <v>229</v>
      </c>
      <c r="B217" s="5">
        <v>45148</v>
      </c>
      <c r="C217" t="s">
        <v>1429</v>
      </c>
      <c r="D217" s="1" t="str">
        <f t="shared" si="7"/>
        <v>Monitor</v>
      </c>
      <c r="E217" t="s">
        <v>2407</v>
      </c>
      <c r="F217">
        <v>1</v>
      </c>
      <c r="G217" s="7">
        <v>303.60000000000002</v>
      </c>
      <c r="H217" s="3" t="s">
        <v>2597</v>
      </c>
      <c r="I217" s="3" t="s">
        <v>3069</v>
      </c>
      <c r="J217" s="3" t="s">
        <v>3070</v>
      </c>
      <c r="K217" s="3" t="s">
        <v>3290</v>
      </c>
      <c r="L217" s="3">
        <v>5</v>
      </c>
      <c r="M217" s="10" t="s">
        <v>4276</v>
      </c>
      <c r="N217" s="3" t="s">
        <v>4281</v>
      </c>
      <c r="O217" s="7">
        <v>303.60000000000002</v>
      </c>
      <c r="P217" s="3">
        <f t="shared" si="8"/>
        <v>303.60000000000002</v>
      </c>
    </row>
    <row r="218" spans="1:16" x14ac:dyDescent="0.35">
      <c r="A218" t="s">
        <v>230</v>
      </c>
      <c r="B218" s="5">
        <v>45762</v>
      </c>
      <c r="C218" t="s">
        <v>1430</v>
      </c>
      <c r="D218" s="1" t="str">
        <f t="shared" si="7"/>
        <v>Desk</v>
      </c>
      <c r="E218" t="s">
        <v>2403</v>
      </c>
      <c r="F218">
        <v>4</v>
      </c>
      <c r="G218" s="7">
        <v>496</v>
      </c>
      <c r="H218" s="3" t="s">
        <v>2465</v>
      </c>
      <c r="I218" s="3" t="s">
        <v>3066</v>
      </c>
      <c r="J218" s="3" t="s">
        <v>3071</v>
      </c>
      <c r="K218" s="3" t="s">
        <v>3291</v>
      </c>
      <c r="L218" s="3">
        <v>8</v>
      </c>
      <c r="M218" s="10" t="s">
        <v>4277</v>
      </c>
      <c r="N218" s="3" t="s">
        <v>4282</v>
      </c>
      <c r="O218" s="7">
        <v>1984</v>
      </c>
      <c r="P218" s="3">
        <f t="shared" si="8"/>
        <v>1984</v>
      </c>
    </row>
    <row r="219" spans="1:16" x14ac:dyDescent="0.35">
      <c r="A219" t="s">
        <v>231</v>
      </c>
      <c r="B219" s="5">
        <v>45432</v>
      </c>
      <c r="C219" t="s">
        <v>1431</v>
      </c>
      <c r="D219" s="1" t="str">
        <f t="shared" si="7"/>
        <v>Tablet</v>
      </c>
      <c r="E219" t="s">
        <v>2409</v>
      </c>
      <c r="F219">
        <v>4</v>
      </c>
      <c r="G219" s="7">
        <v>321.51</v>
      </c>
      <c r="H219" s="3" t="s">
        <v>2598</v>
      </c>
      <c r="I219" s="3" t="s">
        <v>3069</v>
      </c>
      <c r="J219" s="3" t="s">
        <v>3072</v>
      </c>
      <c r="K219" s="3" t="s">
        <v>3292</v>
      </c>
      <c r="L219" s="3">
        <v>9</v>
      </c>
      <c r="N219" s="3" t="s">
        <v>4282</v>
      </c>
      <c r="O219" s="7">
        <v>1286.04</v>
      </c>
      <c r="P219" s="3">
        <f t="shared" si="8"/>
        <v>1286.04</v>
      </c>
    </row>
    <row r="220" spans="1:16" x14ac:dyDescent="0.35">
      <c r="A220" t="s">
        <v>232</v>
      </c>
      <c r="B220" s="5">
        <v>45044</v>
      </c>
      <c r="C220" t="s">
        <v>1432</v>
      </c>
      <c r="D220" s="1" t="str">
        <f t="shared" si="7"/>
        <v>Laptop</v>
      </c>
      <c r="E220" t="s">
        <v>2405</v>
      </c>
      <c r="F220">
        <v>3</v>
      </c>
      <c r="G220" s="7">
        <v>112.46</v>
      </c>
      <c r="H220" s="3" t="s">
        <v>2599</v>
      </c>
      <c r="I220" s="3" t="s">
        <v>3068</v>
      </c>
      <c r="J220" s="3" t="s">
        <v>3070</v>
      </c>
      <c r="K220" s="3" t="s">
        <v>3293</v>
      </c>
      <c r="L220" s="3">
        <v>6</v>
      </c>
      <c r="M220" s="10" t="s">
        <v>4275</v>
      </c>
      <c r="N220" s="3" t="s">
        <v>4278</v>
      </c>
      <c r="O220" s="7">
        <v>337.38</v>
      </c>
      <c r="P220" s="3">
        <f t="shared" si="8"/>
        <v>337.38</v>
      </c>
    </row>
    <row r="221" spans="1:16" x14ac:dyDescent="0.35">
      <c r="A221" t="s">
        <v>233</v>
      </c>
      <c r="B221" s="5">
        <v>45779</v>
      </c>
      <c r="C221" t="s">
        <v>1433</v>
      </c>
      <c r="D221" s="1" t="str">
        <f t="shared" si="7"/>
        <v>Laptop</v>
      </c>
      <c r="E221" t="s">
        <v>2408</v>
      </c>
      <c r="F221">
        <v>5</v>
      </c>
      <c r="G221" s="7">
        <v>61.97</v>
      </c>
      <c r="H221" s="3" t="s">
        <v>2600</v>
      </c>
      <c r="I221" s="3" t="s">
        <v>3069</v>
      </c>
      <c r="J221" s="3" t="s">
        <v>3073</v>
      </c>
      <c r="K221" s="3" t="s">
        <v>3294</v>
      </c>
      <c r="L221" s="3">
        <v>6</v>
      </c>
      <c r="M221" s="10" t="s">
        <v>4275</v>
      </c>
      <c r="N221" s="3" t="s">
        <v>4280</v>
      </c>
      <c r="O221" s="7">
        <v>309.85000000000002</v>
      </c>
      <c r="P221" s="3">
        <f t="shared" si="8"/>
        <v>309.85000000000002</v>
      </c>
    </row>
    <row r="222" spans="1:16" x14ac:dyDescent="0.35">
      <c r="A222" t="s">
        <v>234</v>
      </c>
      <c r="B222" s="5">
        <v>45125</v>
      </c>
      <c r="C222" t="s">
        <v>1434</v>
      </c>
      <c r="D222" s="1" t="str">
        <f t="shared" si="7"/>
        <v>Tablet</v>
      </c>
      <c r="E222" t="s">
        <v>2408</v>
      </c>
      <c r="F222">
        <v>2</v>
      </c>
      <c r="G222" s="7">
        <v>373.17</v>
      </c>
      <c r="H222" s="3" t="s">
        <v>2601</v>
      </c>
      <c r="I222" s="3" t="s">
        <v>3067</v>
      </c>
      <c r="J222" s="3" t="s">
        <v>3074</v>
      </c>
      <c r="K222" s="3" t="s">
        <v>3295</v>
      </c>
      <c r="L222" s="3">
        <v>6</v>
      </c>
      <c r="M222" s="10" t="s">
        <v>4275</v>
      </c>
      <c r="N222" s="3" t="s">
        <v>4279</v>
      </c>
      <c r="O222" s="7">
        <v>746.34</v>
      </c>
      <c r="P222" s="3">
        <f t="shared" si="8"/>
        <v>746.34</v>
      </c>
    </row>
    <row r="223" spans="1:16" x14ac:dyDescent="0.35">
      <c r="A223" t="s">
        <v>235</v>
      </c>
      <c r="B223" s="5">
        <v>45345</v>
      </c>
      <c r="C223" t="s">
        <v>1435</v>
      </c>
      <c r="D223" s="1" t="str">
        <f t="shared" si="7"/>
        <v>Chair</v>
      </c>
      <c r="E223" t="s">
        <v>2405</v>
      </c>
      <c r="F223">
        <v>5</v>
      </c>
      <c r="G223" s="7">
        <v>639.37</v>
      </c>
      <c r="H223" s="3" t="s">
        <v>2474</v>
      </c>
      <c r="I223" s="3" t="s">
        <v>3065</v>
      </c>
      <c r="J223" s="3" t="s">
        <v>3074</v>
      </c>
      <c r="K223" s="3" t="s">
        <v>3296</v>
      </c>
      <c r="L223" s="3">
        <v>6</v>
      </c>
      <c r="M223" s="10" t="s">
        <v>4275</v>
      </c>
      <c r="N223" s="3" t="s">
        <v>4282</v>
      </c>
      <c r="O223" s="7">
        <v>3196.85</v>
      </c>
      <c r="P223" s="3">
        <f t="shared" si="8"/>
        <v>3196.85</v>
      </c>
    </row>
    <row r="224" spans="1:16" x14ac:dyDescent="0.35">
      <c r="A224" t="s">
        <v>236</v>
      </c>
      <c r="B224" s="5">
        <v>45050</v>
      </c>
      <c r="C224" t="s">
        <v>1436</v>
      </c>
      <c r="D224" s="1" t="str">
        <f t="shared" si="7"/>
        <v>Phone</v>
      </c>
      <c r="E224" t="s">
        <v>2406</v>
      </c>
      <c r="F224">
        <v>4</v>
      </c>
      <c r="G224" s="7">
        <v>693.36</v>
      </c>
      <c r="H224" s="3" t="s">
        <v>2602</v>
      </c>
      <c r="I224" s="3" t="s">
        <v>3066</v>
      </c>
      <c r="J224" s="3" t="s">
        <v>3070</v>
      </c>
      <c r="K224" s="3" t="s">
        <v>3297</v>
      </c>
      <c r="L224" s="3">
        <v>8</v>
      </c>
      <c r="N224" s="3" t="s">
        <v>4278</v>
      </c>
      <c r="O224" s="7">
        <v>2773.44</v>
      </c>
      <c r="P224" s="3">
        <f t="shared" si="8"/>
        <v>2773.44</v>
      </c>
    </row>
    <row r="225" spans="1:16" x14ac:dyDescent="0.35">
      <c r="A225" t="s">
        <v>237</v>
      </c>
      <c r="B225" s="5">
        <v>45546</v>
      </c>
      <c r="C225" t="s">
        <v>1437</v>
      </c>
      <c r="D225" s="1" t="str">
        <f t="shared" si="7"/>
        <v>Printer</v>
      </c>
      <c r="E225" t="s">
        <v>2404</v>
      </c>
      <c r="F225">
        <v>4</v>
      </c>
      <c r="G225" s="7">
        <v>692.91</v>
      </c>
      <c r="H225" s="3" t="s">
        <v>2523</v>
      </c>
      <c r="I225" s="3" t="s">
        <v>3067</v>
      </c>
      <c r="J225" s="3" t="s">
        <v>3074</v>
      </c>
      <c r="K225" s="3" t="s">
        <v>3298</v>
      </c>
      <c r="L225" s="3">
        <v>9</v>
      </c>
      <c r="M225" s="10" t="s">
        <v>4275</v>
      </c>
      <c r="N225" s="3" t="s">
        <v>4278</v>
      </c>
      <c r="O225" s="7">
        <v>2771.64</v>
      </c>
      <c r="P225" s="3">
        <f t="shared" si="8"/>
        <v>2771.64</v>
      </c>
    </row>
    <row r="226" spans="1:16" x14ac:dyDescent="0.35">
      <c r="A226" t="s">
        <v>238</v>
      </c>
      <c r="B226" s="5">
        <v>45192</v>
      </c>
      <c r="C226" t="s">
        <v>1438</v>
      </c>
      <c r="D226" s="1" t="str">
        <f t="shared" si="7"/>
        <v>Phone</v>
      </c>
      <c r="E226" t="s">
        <v>2407</v>
      </c>
      <c r="F226">
        <v>4</v>
      </c>
      <c r="G226" s="7">
        <v>91.46</v>
      </c>
      <c r="H226" s="3" t="s">
        <v>2603</v>
      </c>
      <c r="I226" s="3" t="s">
        <v>3069</v>
      </c>
      <c r="J226" s="3" t="s">
        <v>3071</v>
      </c>
      <c r="K226" s="3" t="s">
        <v>3299</v>
      </c>
      <c r="L226" s="3">
        <v>9</v>
      </c>
      <c r="M226" s="10" t="s">
        <v>4275</v>
      </c>
      <c r="N226" s="3" t="s">
        <v>4279</v>
      </c>
      <c r="O226" s="7">
        <v>365.84</v>
      </c>
      <c r="P226" s="3">
        <f t="shared" si="8"/>
        <v>365.84</v>
      </c>
    </row>
    <row r="227" spans="1:16" x14ac:dyDescent="0.35">
      <c r="A227" t="s">
        <v>239</v>
      </c>
      <c r="B227" s="5">
        <v>45364</v>
      </c>
      <c r="C227" t="s">
        <v>1439</v>
      </c>
      <c r="D227" s="1" t="str">
        <f t="shared" si="7"/>
        <v>Desk</v>
      </c>
      <c r="E227" t="s">
        <v>2404</v>
      </c>
      <c r="F227">
        <v>3</v>
      </c>
      <c r="G227" s="7">
        <v>273.95999999999998</v>
      </c>
      <c r="H227" s="3" t="s">
        <v>2604</v>
      </c>
      <c r="I227" s="3" t="s">
        <v>3065</v>
      </c>
      <c r="J227" s="3" t="s">
        <v>3072</v>
      </c>
      <c r="K227" s="3" t="s">
        <v>3300</v>
      </c>
      <c r="L227" s="3">
        <v>8</v>
      </c>
      <c r="M227" s="10" t="s">
        <v>4275</v>
      </c>
      <c r="N227" s="3" t="s">
        <v>4282</v>
      </c>
      <c r="O227" s="7">
        <v>821.87999999999988</v>
      </c>
      <c r="P227" s="3">
        <f t="shared" si="8"/>
        <v>821.87999999999988</v>
      </c>
    </row>
    <row r="228" spans="1:16" x14ac:dyDescent="0.35">
      <c r="A228" t="s">
        <v>240</v>
      </c>
      <c r="B228" s="5">
        <v>45835</v>
      </c>
      <c r="C228" t="s">
        <v>1440</v>
      </c>
      <c r="D228" s="1" t="str">
        <f t="shared" si="7"/>
        <v>Monitor</v>
      </c>
      <c r="E228" t="s">
        <v>2409</v>
      </c>
      <c r="F228">
        <v>3</v>
      </c>
      <c r="G228" s="7">
        <v>588.04999999999995</v>
      </c>
      <c r="H228" s="3" t="s">
        <v>2605</v>
      </c>
      <c r="I228" s="3" t="s">
        <v>3068</v>
      </c>
      <c r="J228" s="3" t="s">
        <v>3073</v>
      </c>
      <c r="K228" s="3" t="s">
        <v>3301</v>
      </c>
      <c r="L228" s="3">
        <v>8</v>
      </c>
      <c r="N228" s="3" t="s">
        <v>4278</v>
      </c>
      <c r="O228" s="7">
        <v>1764.15</v>
      </c>
      <c r="P228" s="3">
        <f t="shared" si="8"/>
        <v>1764.1499999999999</v>
      </c>
    </row>
    <row r="229" spans="1:16" x14ac:dyDescent="0.35">
      <c r="A229" t="s">
        <v>241</v>
      </c>
      <c r="B229" s="5">
        <v>45232</v>
      </c>
      <c r="C229" t="s">
        <v>1441</v>
      </c>
      <c r="D229" s="1" t="str">
        <f t="shared" si="7"/>
        <v>Chair</v>
      </c>
      <c r="E229" t="s">
        <v>2403</v>
      </c>
      <c r="F229">
        <v>2</v>
      </c>
      <c r="G229" s="7">
        <v>365.17</v>
      </c>
      <c r="H229" s="3" t="s">
        <v>2528</v>
      </c>
      <c r="I229" s="3" t="s">
        <v>3066</v>
      </c>
      <c r="J229" s="3" t="s">
        <v>3071</v>
      </c>
      <c r="K229" s="3" t="s">
        <v>3302</v>
      </c>
      <c r="L229" s="3">
        <v>4</v>
      </c>
      <c r="M229" s="10" t="s">
        <v>4276</v>
      </c>
      <c r="N229" s="3" t="s">
        <v>4281</v>
      </c>
      <c r="O229" s="7">
        <v>730.34</v>
      </c>
      <c r="P229" s="3">
        <f t="shared" si="8"/>
        <v>730.34</v>
      </c>
    </row>
    <row r="230" spans="1:16" x14ac:dyDescent="0.35">
      <c r="A230" t="s">
        <v>242</v>
      </c>
      <c r="B230" s="5">
        <v>45063</v>
      </c>
      <c r="C230" t="s">
        <v>1442</v>
      </c>
      <c r="D230" s="1" t="str">
        <f t="shared" si="7"/>
        <v>Tablet</v>
      </c>
      <c r="E230" t="s">
        <v>2406</v>
      </c>
      <c r="F230">
        <v>4</v>
      </c>
      <c r="G230" s="7">
        <v>385.92</v>
      </c>
      <c r="H230" s="3" t="s">
        <v>2606</v>
      </c>
      <c r="I230" s="3" t="s">
        <v>3067</v>
      </c>
      <c r="J230" s="3" t="s">
        <v>3071</v>
      </c>
      <c r="K230" s="3" t="s">
        <v>3303</v>
      </c>
      <c r="L230" s="3">
        <v>8</v>
      </c>
      <c r="N230" s="3" t="s">
        <v>4278</v>
      </c>
      <c r="O230" s="7">
        <v>1543.68</v>
      </c>
      <c r="P230" s="3">
        <f t="shared" si="8"/>
        <v>1543.68</v>
      </c>
    </row>
    <row r="231" spans="1:16" x14ac:dyDescent="0.35">
      <c r="A231" t="s">
        <v>243</v>
      </c>
      <c r="B231" s="5">
        <v>45744</v>
      </c>
      <c r="C231" t="s">
        <v>1443</v>
      </c>
      <c r="D231" s="1" t="str">
        <f t="shared" si="7"/>
        <v>Desk</v>
      </c>
      <c r="E231" t="s">
        <v>2405</v>
      </c>
      <c r="F231">
        <v>1</v>
      </c>
      <c r="G231" s="7">
        <v>562.61</v>
      </c>
      <c r="H231" s="3" t="s">
        <v>2607</v>
      </c>
      <c r="I231" s="3" t="s">
        <v>3067</v>
      </c>
      <c r="J231" s="3" t="s">
        <v>3073</v>
      </c>
      <c r="K231" s="3" t="s">
        <v>3304</v>
      </c>
      <c r="L231" s="3">
        <v>3</v>
      </c>
      <c r="M231" s="10" t="s">
        <v>4277</v>
      </c>
      <c r="N231" s="3" t="s">
        <v>4281</v>
      </c>
      <c r="O231" s="7">
        <v>562.61</v>
      </c>
      <c r="P231" s="3">
        <f t="shared" si="8"/>
        <v>562.61</v>
      </c>
    </row>
    <row r="232" spans="1:16" x14ac:dyDescent="0.35">
      <c r="A232" t="s">
        <v>244</v>
      </c>
      <c r="B232" s="5">
        <v>45276</v>
      </c>
      <c r="C232" t="s">
        <v>1444</v>
      </c>
      <c r="D232" s="1" t="str">
        <f t="shared" si="7"/>
        <v>Phone</v>
      </c>
      <c r="E232" t="s">
        <v>2409</v>
      </c>
      <c r="F232">
        <v>4</v>
      </c>
      <c r="G232" s="7">
        <v>61.91</v>
      </c>
      <c r="H232" s="3" t="s">
        <v>2608</v>
      </c>
      <c r="I232" s="3" t="s">
        <v>3068</v>
      </c>
      <c r="J232" s="3" t="s">
        <v>3073</v>
      </c>
      <c r="K232" s="3" t="s">
        <v>3305</v>
      </c>
      <c r="L232" s="3">
        <v>6</v>
      </c>
      <c r="M232" s="10" t="s">
        <v>4277</v>
      </c>
      <c r="N232" s="3" t="s">
        <v>4280</v>
      </c>
      <c r="O232" s="7">
        <v>247.64</v>
      </c>
      <c r="P232" s="3">
        <f t="shared" si="8"/>
        <v>247.64</v>
      </c>
    </row>
    <row r="233" spans="1:16" x14ac:dyDescent="0.35">
      <c r="A233" t="s">
        <v>245</v>
      </c>
      <c r="B233" s="5">
        <v>45235</v>
      </c>
      <c r="C233" t="s">
        <v>1445</v>
      </c>
      <c r="D233" s="1" t="str">
        <f t="shared" si="7"/>
        <v>Printer</v>
      </c>
      <c r="E233" t="s">
        <v>2404</v>
      </c>
      <c r="F233">
        <v>4</v>
      </c>
      <c r="G233" s="7">
        <v>41.9</v>
      </c>
      <c r="H233" s="3" t="s">
        <v>2609</v>
      </c>
      <c r="I233" s="3" t="s">
        <v>3068</v>
      </c>
      <c r="J233" s="3" t="s">
        <v>3074</v>
      </c>
      <c r="K233" s="3" t="s">
        <v>3306</v>
      </c>
      <c r="L233" s="3">
        <v>9</v>
      </c>
      <c r="M233" s="10" t="s">
        <v>4276</v>
      </c>
      <c r="N233" s="3" t="s">
        <v>4278</v>
      </c>
      <c r="O233" s="7">
        <v>167.6</v>
      </c>
      <c r="P233" s="3">
        <f t="shared" si="8"/>
        <v>167.6</v>
      </c>
    </row>
    <row r="234" spans="1:16" x14ac:dyDescent="0.35">
      <c r="A234" t="s">
        <v>246</v>
      </c>
      <c r="B234" s="5">
        <v>45065</v>
      </c>
      <c r="C234" t="s">
        <v>1446</v>
      </c>
      <c r="D234" s="1" t="str">
        <f t="shared" si="7"/>
        <v>Phone</v>
      </c>
      <c r="E234" t="s">
        <v>2407</v>
      </c>
      <c r="F234">
        <v>4</v>
      </c>
      <c r="G234" s="7">
        <v>444.44</v>
      </c>
      <c r="H234" s="3" t="s">
        <v>2610</v>
      </c>
      <c r="I234" s="3" t="s">
        <v>3065</v>
      </c>
      <c r="J234" s="3" t="s">
        <v>3071</v>
      </c>
      <c r="K234" s="3" t="s">
        <v>3307</v>
      </c>
      <c r="L234" s="3">
        <v>8</v>
      </c>
      <c r="M234" s="10" t="s">
        <v>4277</v>
      </c>
      <c r="N234" s="3" t="s">
        <v>4282</v>
      </c>
      <c r="O234" s="7">
        <v>1777.76</v>
      </c>
      <c r="P234" s="3">
        <f t="shared" si="8"/>
        <v>1777.76</v>
      </c>
    </row>
    <row r="235" spans="1:16" x14ac:dyDescent="0.35">
      <c r="A235" t="s">
        <v>247</v>
      </c>
      <c r="B235" s="5">
        <v>45528</v>
      </c>
      <c r="C235" t="s">
        <v>1447</v>
      </c>
      <c r="D235" s="1" t="str">
        <f t="shared" si="7"/>
        <v>Printer</v>
      </c>
      <c r="E235" t="s">
        <v>2404</v>
      </c>
      <c r="F235">
        <v>3</v>
      </c>
      <c r="G235" s="7">
        <v>311.33</v>
      </c>
      <c r="H235" s="3" t="s">
        <v>2482</v>
      </c>
      <c r="I235" s="3" t="s">
        <v>3069</v>
      </c>
      <c r="J235" s="3" t="s">
        <v>3071</v>
      </c>
      <c r="K235" s="3" t="s">
        <v>3308</v>
      </c>
      <c r="L235" s="3">
        <v>3</v>
      </c>
      <c r="M235" s="10" t="s">
        <v>4277</v>
      </c>
      <c r="N235" s="3" t="s">
        <v>4278</v>
      </c>
      <c r="O235" s="7">
        <v>933.99</v>
      </c>
      <c r="P235" s="3">
        <f t="shared" si="8"/>
        <v>933.99</v>
      </c>
    </row>
    <row r="236" spans="1:16" x14ac:dyDescent="0.35">
      <c r="A236" t="s">
        <v>248</v>
      </c>
      <c r="B236" s="5">
        <v>45622</v>
      </c>
      <c r="C236" t="s">
        <v>1448</v>
      </c>
      <c r="D236" s="1" t="str">
        <f t="shared" si="7"/>
        <v>Desk</v>
      </c>
      <c r="E236" t="s">
        <v>2407</v>
      </c>
      <c r="F236">
        <v>4</v>
      </c>
      <c r="G236" s="7">
        <v>236.41</v>
      </c>
      <c r="H236" s="3" t="s">
        <v>2611</v>
      </c>
      <c r="I236" s="3" t="s">
        <v>3065</v>
      </c>
      <c r="J236" s="3" t="s">
        <v>3074</v>
      </c>
      <c r="K236" s="3" t="s">
        <v>3309</v>
      </c>
      <c r="L236" s="3">
        <v>7</v>
      </c>
      <c r="M236" s="10" t="s">
        <v>4275</v>
      </c>
      <c r="N236" s="3" t="s">
        <v>4282</v>
      </c>
      <c r="O236" s="7">
        <v>945.64</v>
      </c>
      <c r="P236" s="3">
        <f t="shared" si="8"/>
        <v>945.64</v>
      </c>
    </row>
    <row r="237" spans="1:16" x14ac:dyDescent="0.35">
      <c r="A237" t="s">
        <v>249</v>
      </c>
      <c r="B237" s="5">
        <v>44977</v>
      </c>
      <c r="C237" t="s">
        <v>1449</v>
      </c>
      <c r="D237" s="1" t="str">
        <f t="shared" si="7"/>
        <v>Monitor</v>
      </c>
      <c r="E237" t="s">
        <v>2409</v>
      </c>
      <c r="F237">
        <v>1</v>
      </c>
      <c r="G237" s="7">
        <v>65.45</v>
      </c>
      <c r="H237" s="3" t="s">
        <v>2612</v>
      </c>
      <c r="I237" s="3" t="s">
        <v>3069</v>
      </c>
      <c r="J237" s="3" t="s">
        <v>3074</v>
      </c>
      <c r="K237" s="3" t="s">
        <v>3310</v>
      </c>
      <c r="L237" s="3">
        <v>2</v>
      </c>
      <c r="M237" s="10" t="s">
        <v>4277</v>
      </c>
      <c r="N237" s="3" t="s">
        <v>4282</v>
      </c>
      <c r="O237" s="7">
        <v>65.45</v>
      </c>
      <c r="P237" s="3">
        <f t="shared" si="8"/>
        <v>65.45</v>
      </c>
    </row>
    <row r="238" spans="1:16" x14ac:dyDescent="0.35">
      <c r="A238" t="s">
        <v>250</v>
      </c>
      <c r="B238" s="5">
        <v>44927</v>
      </c>
      <c r="C238" t="s">
        <v>1450</v>
      </c>
      <c r="D238" s="1" t="str">
        <f t="shared" si="7"/>
        <v>Monitor</v>
      </c>
      <c r="E238" t="s">
        <v>2403</v>
      </c>
      <c r="F238">
        <v>1</v>
      </c>
      <c r="G238" s="7">
        <v>318.81</v>
      </c>
      <c r="H238" s="3" t="s">
        <v>2613</v>
      </c>
      <c r="I238" s="3" t="s">
        <v>3065</v>
      </c>
      <c r="J238" s="3" t="s">
        <v>3074</v>
      </c>
      <c r="K238" s="3" t="s">
        <v>3311</v>
      </c>
      <c r="L238" s="3">
        <v>3</v>
      </c>
      <c r="M238" s="10" t="s">
        <v>4277</v>
      </c>
      <c r="N238" s="3" t="s">
        <v>4280</v>
      </c>
      <c r="O238" s="7">
        <v>318.81</v>
      </c>
      <c r="P238" s="3">
        <f t="shared" si="8"/>
        <v>318.81</v>
      </c>
    </row>
    <row r="239" spans="1:16" x14ac:dyDescent="0.35">
      <c r="A239" t="s">
        <v>251</v>
      </c>
      <c r="B239" s="5">
        <v>45365</v>
      </c>
      <c r="C239" t="s">
        <v>1451</v>
      </c>
      <c r="D239" s="1" t="str">
        <f t="shared" si="7"/>
        <v>Desk</v>
      </c>
      <c r="E239" t="s">
        <v>2403</v>
      </c>
      <c r="F239">
        <v>3</v>
      </c>
      <c r="G239" s="7">
        <v>583.72</v>
      </c>
      <c r="H239" s="3" t="s">
        <v>2614</v>
      </c>
      <c r="I239" s="3" t="s">
        <v>3067</v>
      </c>
      <c r="J239" s="3" t="s">
        <v>3070</v>
      </c>
      <c r="K239" s="3" t="s">
        <v>3312</v>
      </c>
      <c r="L239" s="3">
        <v>5</v>
      </c>
      <c r="M239" s="10" t="s">
        <v>4276</v>
      </c>
      <c r="N239" s="3" t="s">
        <v>4281</v>
      </c>
      <c r="O239" s="7">
        <v>1751.16</v>
      </c>
      <c r="P239" s="3">
        <f t="shared" si="8"/>
        <v>1751.16</v>
      </c>
    </row>
    <row r="240" spans="1:16" x14ac:dyDescent="0.35">
      <c r="A240" t="s">
        <v>252</v>
      </c>
      <c r="B240" s="5">
        <v>45639</v>
      </c>
      <c r="C240" t="s">
        <v>1452</v>
      </c>
      <c r="D240" s="1" t="str">
        <f t="shared" si="7"/>
        <v>Tablet</v>
      </c>
      <c r="E240" t="s">
        <v>2409</v>
      </c>
      <c r="F240">
        <v>4</v>
      </c>
      <c r="G240" s="7">
        <v>384.32</v>
      </c>
      <c r="H240" s="3" t="s">
        <v>2615</v>
      </c>
      <c r="I240" s="3" t="s">
        <v>3067</v>
      </c>
      <c r="J240" s="3" t="s">
        <v>3074</v>
      </c>
      <c r="K240" s="3" t="s">
        <v>3313</v>
      </c>
      <c r="L240" s="3">
        <v>6</v>
      </c>
      <c r="M240" s="10" t="s">
        <v>4277</v>
      </c>
      <c r="N240" s="3" t="s">
        <v>4282</v>
      </c>
      <c r="O240" s="7">
        <v>1537.28</v>
      </c>
      <c r="P240" s="3">
        <f t="shared" si="8"/>
        <v>1537.28</v>
      </c>
    </row>
    <row r="241" spans="1:16" x14ac:dyDescent="0.35">
      <c r="A241" t="s">
        <v>253</v>
      </c>
      <c r="B241" s="5">
        <v>45637</v>
      </c>
      <c r="C241" t="s">
        <v>1453</v>
      </c>
      <c r="D241" s="1" t="str">
        <f t="shared" si="7"/>
        <v>Tablet</v>
      </c>
      <c r="E241" t="s">
        <v>2405</v>
      </c>
      <c r="F241">
        <v>3</v>
      </c>
      <c r="G241" s="7">
        <v>538.74</v>
      </c>
      <c r="H241" s="3" t="s">
        <v>2616</v>
      </c>
      <c r="I241" s="3" t="s">
        <v>3066</v>
      </c>
      <c r="J241" s="3" t="s">
        <v>3070</v>
      </c>
      <c r="K241" s="3" t="s">
        <v>3314</v>
      </c>
      <c r="L241" s="3">
        <v>6</v>
      </c>
      <c r="M241" s="10" t="s">
        <v>4276</v>
      </c>
      <c r="N241" s="3" t="s">
        <v>4280</v>
      </c>
      <c r="O241" s="7">
        <v>1616.22</v>
      </c>
      <c r="P241" s="3">
        <f t="shared" si="8"/>
        <v>1616.22</v>
      </c>
    </row>
    <row r="242" spans="1:16" x14ac:dyDescent="0.35">
      <c r="A242" t="s">
        <v>254</v>
      </c>
      <c r="B242" s="5">
        <v>45119</v>
      </c>
      <c r="C242" t="s">
        <v>1454</v>
      </c>
      <c r="D242" s="1" t="str">
        <f t="shared" si="7"/>
        <v>Chair</v>
      </c>
      <c r="E242" t="s">
        <v>2405</v>
      </c>
      <c r="F242">
        <v>1</v>
      </c>
      <c r="G242" s="7">
        <v>17.239999999999998</v>
      </c>
      <c r="H242" s="3" t="s">
        <v>2617</v>
      </c>
      <c r="I242" s="3" t="s">
        <v>3066</v>
      </c>
      <c r="J242" s="3" t="s">
        <v>3074</v>
      </c>
      <c r="K242" s="3" t="s">
        <v>3315</v>
      </c>
      <c r="L242" s="3">
        <v>2</v>
      </c>
      <c r="M242" s="10" t="s">
        <v>4276</v>
      </c>
      <c r="N242" s="3" t="s">
        <v>4278</v>
      </c>
      <c r="O242" s="7">
        <v>17.239999999999998</v>
      </c>
      <c r="P242" s="3">
        <f t="shared" si="8"/>
        <v>17.239999999999998</v>
      </c>
    </row>
    <row r="243" spans="1:16" x14ac:dyDescent="0.35">
      <c r="A243" t="s">
        <v>255</v>
      </c>
      <c r="B243" s="5">
        <v>45062</v>
      </c>
      <c r="C243" t="s">
        <v>1455</v>
      </c>
      <c r="D243" s="1" t="str">
        <f t="shared" si="7"/>
        <v>Printer</v>
      </c>
      <c r="E243" t="s">
        <v>2406</v>
      </c>
      <c r="F243">
        <v>5</v>
      </c>
      <c r="G243" s="7">
        <v>615.66999999999996</v>
      </c>
      <c r="H243" s="3" t="s">
        <v>2618</v>
      </c>
      <c r="I243" s="3" t="s">
        <v>3066</v>
      </c>
      <c r="J243" s="3" t="s">
        <v>3074</v>
      </c>
      <c r="K243" s="3" t="s">
        <v>3316</v>
      </c>
      <c r="L243" s="3">
        <v>6</v>
      </c>
      <c r="M243" s="10" t="s">
        <v>4275</v>
      </c>
      <c r="N243" s="3" t="s">
        <v>4280</v>
      </c>
      <c r="O243" s="7">
        <v>3078.35</v>
      </c>
      <c r="P243" s="3">
        <f t="shared" si="8"/>
        <v>3078.35</v>
      </c>
    </row>
    <row r="244" spans="1:16" x14ac:dyDescent="0.35">
      <c r="A244" t="s">
        <v>256</v>
      </c>
      <c r="B244" s="5">
        <v>45055</v>
      </c>
      <c r="C244" t="s">
        <v>1456</v>
      </c>
      <c r="D244" s="1" t="str">
        <f t="shared" si="7"/>
        <v>Chair</v>
      </c>
      <c r="E244" t="s">
        <v>2407</v>
      </c>
      <c r="F244">
        <v>2</v>
      </c>
      <c r="G244" s="7">
        <v>219.1</v>
      </c>
      <c r="H244" s="3" t="s">
        <v>2619</v>
      </c>
      <c r="I244" s="3" t="s">
        <v>3066</v>
      </c>
      <c r="J244" s="3" t="s">
        <v>3074</v>
      </c>
      <c r="K244" s="3" t="s">
        <v>3317</v>
      </c>
      <c r="L244" s="3">
        <v>4</v>
      </c>
      <c r="M244" s="10" t="s">
        <v>4275</v>
      </c>
      <c r="N244" s="3" t="s">
        <v>4279</v>
      </c>
      <c r="O244" s="7">
        <v>438.2</v>
      </c>
      <c r="P244" s="3">
        <f t="shared" si="8"/>
        <v>438.2</v>
      </c>
    </row>
    <row r="245" spans="1:16" x14ac:dyDescent="0.35">
      <c r="A245" t="s">
        <v>257</v>
      </c>
      <c r="B245" s="5">
        <v>45786</v>
      </c>
      <c r="C245" t="s">
        <v>1457</v>
      </c>
      <c r="D245" s="1" t="str">
        <f t="shared" si="7"/>
        <v>Desk</v>
      </c>
      <c r="E245" t="s">
        <v>2406</v>
      </c>
      <c r="F245">
        <v>2</v>
      </c>
      <c r="G245" s="7">
        <v>144.66</v>
      </c>
      <c r="H245" s="3" t="s">
        <v>2620</v>
      </c>
      <c r="I245" s="3" t="s">
        <v>3066</v>
      </c>
      <c r="J245" s="3" t="s">
        <v>3071</v>
      </c>
      <c r="K245" s="3" t="s">
        <v>3318</v>
      </c>
      <c r="L245" s="3">
        <v>7</v>
      </c>
      <c r="M245" s="10" t="s">
        <v>4276</v>
      </c>
      <c r="N245" s="3" t="s">
        <v>4282</v>
      </c>
      <c r="O245" s="7">
        <v>289.32</v>
      </c>
      <c r="P245" s="3">
        <f t="shared" si="8"/>
        <v>289.32</v>
      </c>
    </row>
    <row r="246" spans="1:16" x14ac:dyDescent="0.35">
      <c r="A246" t="s">
        <v>258</v>
      </c>
      <c r="B246" s="5">
        <v>44973</v>
      </c>
      <c r="C246" t="s">
        <v>1458</v>
      </c>
      <c r="D246" s="1" t="str">
        <f t="shared" si="7"/>
        <v>Laptop</v>
      </c>
      <c r="E246" t="s">
        <v>2409</v>
      </c>
      <c r="F246">
        <v>2</v>
      </c>
      <c r="G246" s="7">
        <v>317.77</v>
      </c>
      <c r="H246" s="3" t="s">
        <v>2621</v>
      </c>
      <c r="I246" s="3" t="s">
        <v>3065</v>
      </c>
      <c r="J246" s="3" t="s">
        <v>3071</v>
      </c>
      <c r="K246" s="3" t="s">
        <v>3319</v>
      </c>
      <c r="L246" s="3">
        <v>4</v>
      </c>
      <c r="M246" s="10" t="s">
        <v>4277</v>
      </c>
      <c r="N246" s="3" t="s">
        <v>4281</v>
      </c>
      <c r="O246" s="7">
        <v>635.54</v>
      </c>
      <c r="P246" s="3">
        <f t="shared" si="8"/>
        <v>635.54</v>
      </c>
    </row>
    <row r="247" spans="1:16" x14ac:dyDescent="0.35">
      <c r="A247" t="s">
        <v>259</v>
      </c>
      <c r="B247" s="5">
        <v>45767</v>
      </c>
      <c r="C247" t="s">
        <v>1459</v>
      </c>
      <c r="D247" s="1" t="str">
        <f t="shared" si="7"/>
        <v>Desk</v>
      </c>
      <c r="E247" t="s">
        <v>2408</v>
      </c>
      <c r="F247">
        <v>1</v>
      </c>
      <c r="G247" s="7">
        <v>223.3</v>
      </c>
      <c r="H247" s="3" t="s">
        <v>2622</v>
      </c>
      <c r="I247" s="3" t="s">
        <v>3066</v>
      </c>
      <c r="J247" s="3" t="s">
        <v>3072</v>
      </c>
      <c r="K247" s="3" t="s">
        <v>3320</v>
      </c>
      <c r="L247" s="3">
        <v>1</v>
      </c>
      <c r="N247" s="3" t="s">
        <v>4281</v>
      </c>
      <c r="O247" s="7">
        <v>223.3</v>
      </c>
      <c r="P247" s="3">
        <f t="shared" si="8"/>
        <v>223.3</v>
      </c>
    </row>
    <row r="248" spans="1:16" x14ac:dyDescent="0.35">
      <c r="A248" t="s">
        <v>260</v>
      </c>
      <c r="B248" s="5">
        <v>45534</v>
      </c>
      <c r="C248" t="s">
        <v>1460</v>
      </c>
      <c r="D248" s="1" t="str">
        <f t="shared" si="7"/>
        <v>Printer</v>
      </c>
      <c r="E248" t="s">
        <v>2409</v>
      </c>
      <c r="F248">
        <v>2</v>
      </c>
      <c r="G248" s="7">
        <v>342.11</v>
      </c>
      <c r="H248" s="3" t="s">
        <v>2623</v>
      </c>
      <c r="I248" s="3" t="s">
        <v>3068</v>
      </c>
      <c r="J248" s="3" t="s">
        <v>3070</v>
      </c>
      <c r="K248" s="3" t="s">
        <v>3321</v>
      </c>
      <c r="L248" s="3">
        <v>2</v>
      </c>
      <c r="M248" s="10" t="s">
        <v>4277</v>
      </c>
      <c r="N248" s="3" t="s">
        <v>4278</v>
      </c>
      <c r="O248" s="7">
        <v>684.22</v>
      </c>
      <c r="P248" s="3">
        <f t="shared" si="8"/>
        <v>684.22</v>
      </c>
    </row>
    <row r="249" spans="1:16" x14ac:dyDescent="0.35">
      <c r="A249" t="s">
        <v>261</v>
      </c>
      <c r="B249" s="5">
        <v>45127</v>
      </c>
      <c r="C249" t="s">
        <v>1461</v>
      </c>
      <c r="D249" s="1" t="str">
        <f t="shared" si="7"/>
        <v>Laptop</v>
      </c>
      <c r="E249" t="s">
        <v>2407</v>
      </c>
      <c r="F249">
        <v>2</v>
      </c>
      <c r="G249" s="7">
        <v>220.9</v>
      </c>
      <c r="H249" s="3" t="s">
        <v>2624</v>
      </c>
      <c r="I249" s="3" t="s">
        <v>3068</v>
      </c>
      <c r="J249" s="3" t="s">
        <v>3070</v>
      </c>
      <c r="K249" s="3" t="s">
        <v>3322</v>
      </c>
      <c r="L249" s="3">
        <v>4</v>
      </c>
      <c r="N249" s="3" t="s">
        <v>4280</v>
      </c>
      <c r="O249" s="7">
        <v>441.8</v>
      </c>
      <c r="P249" s="3">
        <f t="shared" si="8"/>
        <v>441.8</v>
      </c>
    </row>
    <row r="250" spans="1:16" x14ac:dyDescent="0.35">
      <c r="A250" t="s">
        <v>262</v>
      </c>
      <c r="B250" s="5">
        <v>45109</v>
      </c>
      <c r="C250" t="s">
        <v>1462</v>
      </c>
      <c r="D250" s="1" t="str">
        <f t="shared" si="7"/>
        <v>Printer</v>
      </c>
      <c r="E250" t="s">
        <v>2408</v>
      </c>
      <c r="F250">
        <v>1</v>
      </c>
      <c r="G250" s="7">
        <v>670.54</v>
      </c>
      <c r="H250" s="3" t="s">
        <v>2625</v>
      </c>
      <c r="I250" s="3" t="s">
        <v>3069</v>
      </c>
      <c r="J250" s="3" t="s">
        <v>3070</v>
      </c>
      <c r="K250" s="3" t="s">
        <v>3323</v>
      </c>
      <c r="L250" s="3">
        <v>6</v>
      </c>
      <c r="M250" s="10" t="s">
        <v>4276</v>
      </c>
      <c r="N250" s="3" t="s">
        <v>4279</v>
      </c>
      <c r="O250" s="7">
        <v>670.54</v>
      </c>
      <c r="P250" s="3">
        <f t="shared" si="8"/>
        <v>670.54</v>
      </c>
    </row>
    <row r="251" spans="1:16" x14ac:dyDescent="0.35">
      <c r="A251" t="s">
        <v>263</v>
      </c>
      <c r="B251" s="5">
        <v>45329</v>
      </c>
      <c r="C251" t="s">
        <v>1463</v>
      </c>
      <c r="D251" s="1" t="str">
        <f t="shared" si="7"/>
        <v>Desk</v>
      </c>
      <c r="E251" t="s">
        <v>2407</v>
      </c>
      <c r="F251">
        <v>1</v>
      </c>
      <c r="G251" s="7">
        <v>546.19000000000005</v>
      </c>
      <c r="H251" s="3" t="s">
        <v>2626</v>
      </c>
      <c r="I251" s="3" t="s">
        <v>3069</v>
      </c>
      <c r="J251" s="3" t="s">
        <v>3074</v>
      </c>
      <c r="K251" s="3" t="s">
        <v>3324</v>
      </c>
      <c r="L251" s="3">
        <v>5</v>
      </c>
      <c r="M251" s="10" t="s">
        <v>4276</v>
      </c>
      <c r="N251" s="3" t="s">
        <v>4279</v>
      </c>
      <c r="O251" s="7">
        <v>546.19000000000005</v>
      </c>
      <c r="P251" s="3">
        <f t="shared" si="8"/>
        <v>546.19000000000005</v>
      </c>
    </row>
    <row r="252" spans="1:16" x14ac:dyDescent="0.35">
      <c r="A252" t="s">
        <v>264</v>
      </c>
      <c r="B252" s="5">
        <v>45021</v>
      </c>
      <c r="C252" t="s">
        <v>1464</v>
      </c>
      <c r="D252" s="1" t="str">
        <f t="shared" si="7"/>
        <v>Monitor</v>
      </c>
      <c r="E252" t="s">
        <v>2409</v>
      </c>
      <c r="F252">
        <v>3</v>
      </c>
      <c r="G252" s="7">
        <v>42.95</v>
      </c>
      <c r="H252" s="3" t="s">
        <v>2492</v>
      </c>
      <c r="I252" s="3" t="s">
        <v>3068</v>
      </c>
      <c r="J252" s="3" t="s">
        <v>3072</v>
      </c>
      <c r="K252" s="3" t="s">
        <v>3325</v>
      </c>
      <c r="L252" s="3">
        <v>8</v>
      </c>
      <c r="M252" s="10" t="s">
        <v>4275</v>
      </c>
      <c r="N252" s="3" t="s">
        <v>4280</v>
      </c>
      <c r="O252" s="7">
        <v>128.85</v>
      </c>
      <c r="P252" s="3">
        <f t="shared" si="8"/>
        <v>128.85000000000002</v>
      </c>
    </row>
    <row r="253" spans="1:16" x14ac:dyDescent="0.35">
      <c r="A253" t="s">
        <v>265</v>
      </c>
      <c r="B253" s="5">
        <v>45792</v>
      </c>
      <c r="C253" t="s">
        <v>1465</v>
      </c>
      <c r="D253" s="1" t="str">
        <f t="shared" si="7"/>
        <v>Phone</v>
      </c>
      <c r="E253" t="s">
        <v>2403</v>
      </c>
      <c r="F253">
        <v>4</v>
      </c>
      <c r="G253" s="7">
        <v>14.69</v>
      </c>
      <c r="H253" s="3" t="s">
        <v>2627</v>
      </c>
      <c r="I253" s="3" t="s">
        <v>3069</v>
      </c>
      <c r="J253" s="3" t="s">
        <v>3071</v>
      </c>
      <c r="K253" s="3" t="s">
        <v>3326</v>
      </c>
      <c r="L253" s="3">
        <v>9</v>
      </c>
      <c r="N253" s="3" t="s">
        <v>4280</v>
      </c>
      <c r="O253" s="7">
        <v>58.76</v>
      </c>
      <c r="P253" s="3">
        <f t="shared" si="8"/>
        <v>58.76</v>
      </c>
    </row>
    <row r="254" spans="1:16" x14ac:dyDescent="0.35">
      <c r="A254" t="s">
        <v>266</v>
      </c>
      <c r="B254" s="5">
        <v>45555</v>
      </c>
      <c r="C254" t="s">
        <v>1466</v>
      </c>
      <c r="D254" s="1" t="str">
        <f t="shared" si="7"/>
        <v>Chair</v>
      </c>
      <c r="E254" t="s">
        <v>2404</v>
      </c>
      <c r="F254">
        <v>4</v>
      </c>
      <c r="G254" s="7">
        <v>668.36</v>
      </c>
      <c r="H254" s="3" t="s">
        <v>2628</v>
      </c>
      <c r="I254" s="3" t="s">
        <v>3068</v>
      </c>
      <c r="J254" s="3" t="s">
        <v>3071</v>
      </c>
      <c r="K254" s="3" t="s">
        <v>3327</v>
      </c>
      <c r="L254" s="3">
        <v>5</v>
      </c>
      <c r="M254" s="10" t="s">
        <v>4276</v>
      </c>
      <c r="N254" s="3" t="s">
        <v>4281</v>
      </c>
      <c r="O254" s="7">
        <v>2673.44</v>
      </c>
      <c r="P254" s="3">
        <f t="shared" si="8"/>
        <v>2673.44</v>
      </c>
    </row>
    <row r="255" spans="1:16" x14ac:dyDescent="0.35">
      <c r="A255" t="s">
        <v>267</v>
      </c>
      <c r="B255" s="5">
        <v>45374</v>
      </c>
      <c r="C255" t="s">
        <v>1467</v>
      </c>
      <c r="D255" s="1" t="str">
        <f t="shared" si="7"/>
        <v>Monitor</v>
      </c>
      <c r="E255" t="s">
        <v>2406</v>
      </c>
      <c r="F255">
        <v>4</v>
      </c>
      <c r="G255" s="7">
        <v>413.74</v>
      </c>
      <c r="H255" s="3" t="s">
        <v>2503</v>
      </c>
      <c r="I255" s="3" t="s">
        <v>3068</v>
      </c>
      <c r="J255" s="3" t="s">
        <v>3072</v>
      </c>
      <c r="K255" s="3" t="s">
        <v>3328</v>
      </c>
      <c r="L255" s="3">
        <v>7</v>
      </c>
      <c r="M255" s="10" t="s">
        <v>4276</v>
      </c>
      <c r="N255" s="3" t="s">
        <v>4278</v>
      </c>
      <c r="O255" s="7">
        <v>1654.96</v>
      </c>
      <c r="P255" s="3">
        <f t="shared" si="8"/>
        <v>1654.96</v>
      </c>
    </row>
    <row r="256" spans="1:16" x14ac:dyDescent="0.35">
      <c r="A256" t="s">
        <v>268</v>
      </c>
      <c r="B256" s="5">
        <v>45286</v>
      </c>
      <c r="C256" t="s">
        <v>1468</v>
      </c>
      <c r="D256" s="1" t="str">
        <f t="shared" si="7"/>
        <v>Monitor</v>
      </c>
      <c r="E256" t="s">
        <v>2403</v>
      </c>
      <c r="F256">
        <v>3</v>
      </c>
      <c r="G256" s="7">
        <v>263.19</v>
      </c>
      <c r="H256" s="3" t="s">
        <v>2615</v>
      </c>
      <c r="I256" s="3" t="s">
        <v>3066</v>
      </c>
      <c r="J256" s="3" t="s">
        <v>3073</v>
      </c>
      <c r="K256" s="3" t="s">
        <v>3329</v>
      </c>
      <c r="L256" s="3">
        <v>5</v>
      </c>
      <c r="N256" s="3" t="s">
        <v>4278</v>
      </c>
      <c r="O256" s="7">
        <v>789.56999999999994</v>
      </c>
      <c r="P256" s="3">
        <f t="shared" si="8"/>
        <v>789.56999999999994</v>
      </c>
    </row>
    <row r="257" spans="1:16" x14ac:dyDescent="0.35">
      <c r="A257" t="s">
        <v>269</v>
      </c>
      <c r="B257" s="5">
        <v>45425</v>
      </c>
      <c r="C257" t="s">
        <v>1469</v>
      </c>
      <c r="D257" s="1" t="str">
        <f t="shared" si="7"/>
        <v>Chair</v>
      </c>
      <c r="E257" t="s">
        <v>2403</v>
      </c>
      <c r="F257">
        <v>1</v>
      </c>
      <c r="G257" s="7">
        <v>263.95999999999998</v>
      </c>
      <c r="H257" s="3" t="s">
        <v>2565</v>
      </c>
      <c r="I257" s="3" t="s">
        <v>3068</v>
      </c>
      <c r="J257" s="3" t="s">
        <v>3072</v>
      </c>
      <c r="K257" s="3" t="s">
        <v>3330</v>
      </c>
      <c r="L257" s="3">
        <v>2</v>
      </c>
      <c r="M257" s="10" t="s">
        <v>4275</v>
      </c>
      <c r="N257" s="3" t="s">
        <v>4282</v>
      </c>
      <c r="O257" s="7">
        <v>263.95999999999998</v>
      </c>
      <c r="P257" s="3">
        <f t="shared" si="8"/>
        <v>263.95999999999998</v>
      </c>
    </row>
    <row r="258" spans="1:16" x14ac:dyDescent="0.35">
      <c r="A258" t="s">
        <v>270</v>
      </c>
      <c r="B258" s="5">
        <v>45838</v>
      </c>
      <c r="C258" t="s">
        <v>1470</v>
      </c>
      <c r="D258" s="1" t="str">
        <f t="shared" ref="D258:D321" si="9">PROPER(TRIM(E259))</f>
        <v>Phone</v>
      </c>
      <c r="E258" t="s">
        <v>2406</v>
      </c>
      <c r="F258">
        <v>5</v>
      </c>
      <c r="G258" s="7">
        <v>75.81</v>
      </c>
      <c r="H258" s="3" t="s">
        <v>2629</v>
      </c>
      <c r="I258" s="3" t="s">
        <v>3068</v>
      </c>
      <c r="J258" s="3" t="s">
        <v>3072</v>
      </c>
      <c r="K258" s="3" t="s">
        <v>3331</v>
      </c>
      <c r="L258" s="3">
        <v>10</v>
      </c>
      <c r="M258" s="10" t="s">
        <v>4277</v>
      </c>
      <c r="N258" s="3" t="s">
        <v>4278</v>
      </c>
      <c r="O258" s="7">
        <v>379.05</v>
      </c>
      <c r="P258" s="3">
        <f t="shared" si="8"/>
        <v>379.05</v>
      </c>
    </row>
    <row r="259" spans="1:16" x14ac:dyDescent="0.35">
      <c r="A259" t="s">
        <v>271</v>
      </c>
      <c r="B259" s="5">
        <v>45405</v>
      </c>
      <c r="C259" t="s">
        <v>1471</v>
      </c>
      <c r="D259" s="1" t="str">
        <f t="shared" si="9"/>
        <v>Tablet</v>
      </c>
      <c r="E259" t="s">
        <v>2404</v>
      </c>
      <c r="F259">
        <v>1</v>
      </c>
      <c r="G259" s="7">
        <v>406.22</v>
      </c>
      <c r="H259" s="3" t="s">
        <v>2630</v>
      </c>
      <c r="I259" s="3" t="s">
        <v>3067</v>
      </c>
      <c r="J259" s="3" t="s">
        <v>3071</v>
      </c>
      <c r="K259" s="3" t="s">
        <v>3332</v>
      </c>
      <c r="L259" s="3">
        <v>5</v>
      </c>
      <c r="M259" s="10" t="s">
        <v>4275</v>
      </c>
      <c r="N259" s="3" t="s">
        <v>4279</v>
      </c>
      <c r="O259" s="7">
        <v>406.22</v>
      </c>
      <c r="P259" s="3">
        <f t="shared" ref="P259:P322" si="10">G259*F259</f>
        <v>406.22</v>
      </c>
    </row>
    <row r="260" spans="1:16" x14ac:dyDescent="0.35">
      <c r="A260" t="s">
        <v>272</v>
      </c>
      <c r="B260" s="5">
        <v>45348</v>
      </c>
      <c r="C260" t="s">
        <v>1472</v>
      </c>
      <c r="D260" s="1" t="str">
        <f t="shared" si="9"/>
        <v>Chair</v>
      </c>
      <c r="E260" t="s">
        <v>2405</v>
      </c>
      <c r="F260">
        <v>2</v>
      </c>
      <c r="G260" s="7">
        <v>103.41</v>
      </c>
      <c r="H260" s="3" t="s">
        <v>2631</v>
      </c>
      <c r="I260" s="3" t="s">
        <v>3066</v>
      </c>
      <c r="J260" s="3" t="s">
        <v>3070</v>
      </c>
      <c r="K260" s="3" t="s">
        <v>3333</v>
      </c>
      <c r="L260" s="3">
        <v>2</v>
      </c>
      <c r="M260" s="10" t="s">
        <v>4276</v>
      </c>
      <c r="N260" s="3" t="s">
        <v>4279</v>
      </c>
      <c r="O260" s="7">
        <v>206.82</v>
      </c>
      <c r="P260" s="3">
        <f t="shared" si="10"/>
        <v>206.82</v>
      </c>
    </row>
    <row r="261" spans="1:16" x14ac:dyDescent="0.35">
      <c r="A261" t="s">
        <v>273</v>
      </c>
      <c r="B261" s="5">
        <v>45088</v>
      </c>
      <c r="C261" t="s">
        <v>1473</v>
      </c>
      <c r="D261" s="1" t="str">
        <f t="shared" si="9"/>
        <v>Monitor</v>
      </c>
      <c r="E261" t="s">
        <v>2406</v>
      </c>
      <c r="F261">
        <v>4</v>
      </c>
      <c r="G261" s="7">
        <v>435.12</v>
      </c>
      <c r="H261" s="3" t="s">
        <v>2535</v>
      </c>
      <c r="I261" s="3" t="s">
        <v>3067</v>
      </c>
      <c r="J261" s="3" t="s">
        <v>3073</v>
      </c>
      <c r="K261" s="3" t="s">
        <v>3334</v>
      </c>
      <c r="L261" s="3">
        <v>9</v>
      </c>
      <c r="M261" s="10" t="s">
        <v>4275</v>
      </c>
      <c r="N261" s="3" t="s">
        <v>4278</v>
      </c>
      <c r="O261" s="7">
        <v>1740.48</v>
      </c>
      <c r="P261" s="3">
        <f t="shared" si="10"/>
        <v>1740.48</v>
      </c>
    </row>
    <row r="262" spans="1:16" x14ac:dyDescent="0.35">
      <c r="A262" t="s">
        <v>274</v>
      </c>
      <c r="B262" s="5">
        <v>45063</v>
      </c>
      <c r="C262" t="s">
        <v>1474</v>
      </c>
      <c r="D262" s="1" t="str">
        <f t="shared" si="9"/>
        <v>Phone</v>
      </c>
      <c r="E262" t="s">
        <v>2403</v>
      </c>
      <c r="F262">
        <v>2</v>
      </c>
      <c r="G262" s="7">
        <v>407.79</v>
      </c>
      <c r="H262" s="3" t="s">
        <v>2632</v>
      </c>
      <c r="I262" s="3" t="s">
        <v>3065</v>
      </c>
      <c r="J262" s="3" t="s">
        <v>3070</v>
      </c>
      <c r="K262" s="3" t="s">
        <v>3335</v>
      </c>
      <c r="L262" s="3">
        <v>3</v>
      </c>
      <c r="N262" s="3" t="s">
        <v>4282</v>
      </c>
      <c r="O262" s="7">
        <v>815.58</v>
      </c>
      <c r="P262" s="3">
        <f t="shared" si="10"/>
        <v>815.58</v>
      </c>
    </row>
    <row r="263" spans="1:16" x14ac:dyDescent="0.35">
      <c r="A263" t="s">
        <v>275</v>
      </c>
      <c r="B263" s="5">
        <v>45805</v>
      </c>
      <c r="C263" t="s">
        <v>1475</v>
      </c>
      <c r="D263" s="1" t="str">
        <f t="shared" si="9"/>
        <v>Phone</v>
      </c>
      <c r="E263" t="s">
        <v>2404</v>
      </c>
      <c r="F263">
        <v>5</v>
      </c>
      <c r="G263" s="7">
        <v>173.65</v>
      </c>
      <c r="H263" s="3" t="s">
        <v>2633</v>
      </c>
      <c r="I263" s="3" t="s">
        <v>3068</v>
      </c>
      <c r="J263" s="3" t="s">
        <v>3073</v>
      </c>
      <c r="K263" s="3" t="s">
        <v>3336</v>
      </c>
      <c r="L263" s="3">
        <v>9</v>
      </c>
      <c r="M263" s="10" t="s">
        <v>4275</v>
      </c>
      <c r="N263" s="3" t="s">
        <v>4280</v>
      </c>
      <c r="O263" s="7">
        <v>868.25</v>
      </c>
      <c r="P263" s="3">
        <f t="shared" si="10"/>
        <v>868.25</v>
      </c>
    </row>
    <row r="264" spans="1:16" x14ac:dyDescent="0.35">
      <c r="A264" t="s">
        <v>276</v>
      </c>
      <c r="B264" s="5">
        <v>44936</v>
      </c>
      <c r="C264" t="s">
        <v>1476</v>
      </c>
      <c r="D264" s="1" t="str">
        <f t="shared" si="9"/>
        <v>Phone</v>
      </c>
      <c r="E264" t="s">
        <v>2404</v>
      </c>
      <c r="F264">
        <v>4</v>
      </c>
      <c r="G264" s="7">
        <v>249.07</v>
      </c>
      <c r="H264" s="3" t="s">
        <v>2536</v>
      </c>
      <c r="I264" s="3" t="s">
        <v>3067</v>
      </c>
      <c r="J264" s="3" t="s">
        <v>3072</v>
      </c>
      <c r="K264" s="3" t="s">
        <v>3337</v>
      </c>
      <c r="L264" s="3">
        <v>5</v>
      </c>
      <c r="M264" s="10" t="s">
        <v>4277</v>
      </c>
      <c r="N264" s="3" t="s">
        <v>4279</v>
      </c>
      <c r="O264" s="7">
        <v>996.28</v>
      </c>
      <c r="P264" s="3">
        <f t="shared" si="10"/>
        <v>996.28</v>
      </c>
    </row>
    <row r="265" spans="1:16" x14ac:dyDescent="0.35">
      <c r="A265" t="s">
        <v>277</v>
      </c>
      <c r="B265" s="5">
        <v>45010</v>
      </c>
      <c r="C265" t="s">
        <v>1477</v>
      </c>
      <c r="D265" s="1" t="str">
        <f t="shared" si="9"/>
        <v>Tablet</v>
      </c>
      <c r="E265" t="s">
        <v>2404</v>
      </c>
      <c r="F265">
        <v>4</v>
      </c>
      <c r="G265" s="7">
        <v>434.85</v>
      </c>
      <c r="H265" s="3" t="s">
        <v>2634</v>
      </c>
      <c r="I265" s="3" t="s">
        <v>3067</v>
      </c>
      <c r="J265" s="3" t="s">
        <v>3074</v>
      </c>
      <c r="K265" s="3" t="s">
        <v>3338</v>
      </c>
      <c r="L265" s="3">
        <v>4</v>
      </c>
      <c r="M265" s="10" t="s">
        <v>4277</v>
      </c>
      <c r="N265" s="3" t="s">
        <v>4282</v>
      </c>
      <c r="O265" s="7">
        <v>1739.4</v>
      </c>
      <c r="P265" s="3">
        <f t="shared" si="10"/>
        <v>1739.4</v>
      </c>
    </row>
    <row r="266" spans="1:16" x14ac:dyDescent="0.35">
      <c r="A266" t="s">
        <v>278</v>
      </c>
      <c r="B266" s="5">
        <v>45507</v>
      </c>
      <c r="C266" t="s">
        <v>1478</v>
      </c>
      <c r="D266" s="1" t="str">
        <f t="shared" si="9"/>
        <v>Printer</v>
      </c>
      <c r="E266" t="s">
        <v>2405</v>
      </c>
      <c r="F266">
        <v>1</v>
      </c>
      <c r="G266" s="7">
        <v>436.77</v>
      </c>
      <c r="H266" s="3" t="s">
        <v>2635</v>
      </c>
      <c r="I266" s="3" t="s">
        <v>3069</v>
      </c>
      <c r="J266" s="3" t="s">
        <v>3072</v>
      </c>
      <c r="K266" s="3" t="s">
        <v>3339</v>
      </c>
      <c r="L266" s="3">
        <v>5</v>
      </c>
      <c r="M266" s="10" t="s">
        <v>4276</v>
      </c>
      <c r="N266" s="3" t="s">
        <v>4282</v>
      </c>
      <c r="O266" s="7">
        <v>436.77</v>
      </c>
      <c r="P266" s="3">
        <f t="shared" si="10"/>
        <v>436.77</v>
      </c>
    </row>
    <row r="267" spans="1:16" x14ac:dyDescent="0.35">
      <c r="A267" t="s">
        <v>279</v>
      </c>
      <c r="B267" s="5">
        <v>45282</v>
      </c>
      <c r="C267" t="s">
        <v>1479</v>
      </c>
      <c r="D267" s="1" t="str">
        <f t="shared" si="9"/>
        <v>Chair</v>
      </c>
      <c r="E267" t="s">
        <v>2407</v>
      </c>
      <c r="F267">
        <v>1</v>
      </c>
      <c r="G267" s="7">
        <v>572.13</v>
      </c>
      <c r="H267" s="3" t="s">
        <v>2636</v>
      </c>
      <c r="I267" s="3" t="s">
        <v>3065</v>
      </c>
      <c r="J267" s="3" t="s">
        <v>3071</v>
      </c>
      <c r="K267" s="3" t="s">
        <v>3340</v>
      </c>
      <c r="L267" s="3">
        <v>4</v>
      </c>
      <c r="M267" s="10" t="s">
        <v>4275</v>
      </c>
      <c r="N267" s="3" t="s">
        <v>4282</v>
      </c>
      <c r="O267" s="7">
        <v>572.13</v>
      </c>
      <c r="P267" s="3">
        <f t="shared" si="10"/>
        <v>572.13</v>
      </c>
    </row>
    <row r="268" spans="1:16" x14ac:dyDescent="0.35">
      <c r="A268" t="s">
        <v>280</v>
      </c>
      <c r="B268" s="5">
        <v>45451</v>
      </c>
      <c r="C268" t="s">
        <v>1480</v>
      </c>
      <c r="D268" s="1" t="str">
        <f t="shared" si="9"/>
        <v>Chair</v>
      </c>
      <c r="E268" t="s">
        <v>2406</v>
      </c>
      <c r="F268">
        <v>4</v>
      </c>
      <c r="G268" s="7">
        <v>583.07000000000005</v>
      </c>
      <c r="H268" s="3" t="s">
        <v>2637</v>
      </c>
      <c r="I268" s="3" t="s">
        <v>3067</v>
      </c>
      <c r="J268" s="3" t="s">
        <v>3071</v>
      </c>
      <c r="K268" s="3" t="s">
        <v>3341</v>
      </c>
      <c r="L268" s="3">
        <v>6</v>
      </c>
      <c r="M268" s="10" t="s">
        <v>4276</v>
      </c>
      <c r="N268" s="3" t="s">
        <v>4279</v>
      </c>
      <c r="O268" s="7">
        <v>2332.2800000000002</v>
      </c>
      <c r="P268" s="3">
        <f t="shared" si="10"/>
        <v>2332.2800000000002</v>
      </c>
    </row>
    <row r="269" spans="1:16" x14ac:dyDescent="0.35">
      <c r="A269" t="s">
        <v>281</v>
      </c>
      <c r="B269" s="5">
        <v>45764</v>
      </c>
      <c r="C269" t="s">
        <v>1481</v>
      </c>
      <c r="D269" s="1" t="str">
        <f t="shared" si="9"/>
        <v>Phone</v>
      </c>
      <c r="E269" t="s">
        <v>2406</v>
      </c>
      <c r="F269">
        <v>5</v>
      </c>
      <c r="G269" s="7">
        <v>468.51</v>
      </c>
      <c r="H269" s="3" t="s">
        <v>2638</v>
      </c>
      <c r="I269" s="3" t="s">
        <v>3065</v>
      </c>
      <c r="J269" s="3" t="s">
        <v>3073</v>
      </c>
      <c r="K269" s="3" t="s">
        <v>3342</v>
      </c>
      <c r="L269" s="3">
        <v>9</v>
      </c>
      <c r="N269" s="3" t="s">
        <v>4281</v>
      </c>
      <c r="O269" s="7">
        <v>2342.5500000000002</v>
      </c>
      <c r="P269" s="3">
        <f t="shared" si="10"/>
        <v>2342.5500000000002</v>
      </c>
    </row>
    <row r="270" spans="1:16" x14ac:dyDescent="0.35">
      <c r="A270" t="s">
        <v>282</v>
      </c>
      <c r="B270" s="5">
        <v>45149</v>
      </c>
      <c r="C270" t="s">
        <v>1482</v>
      </c>
      <c r="D270" s="1" t="str">
        <f t="shared" si="9"/>
        <v>Tablet</v>
      </c>
      <c r="E270" t="s">
        <v>2404</v>
      </c>
      <c r="F270">
        <v>2</v>
      </c>
      <c r="G270" s="7">
        <v>423.88</v>
      </c>
      <c r="H270" s="3" t="s">
        <v>2639</v>
      </c>
      <c r="I270" s="3" t="s">
        <v>3065</v>
      </c>
      <c r="J270" s="3" t="s">
        <v>3073</v>
      </c>
      <c r="K270" s="3" t="s">
        <v>3343</v>
      </c>
      <c r="L270" s="3">
        <v>7</v>
      </c>
      <c r="M270" s="10" t="s">
        <v>4275</v>
      </c>
      <c r="N270" s="3" t="s">
        <v>4279</v>
      </c>
      <c r="O270" s="7">
        <v>847.76</v>
      </c>
      <c r="P270" s="3">
        <f t="shared" si="10"/>
        <v>847.76</v>
      </c>
    </row>
    <row r="271" spans="1:16" x14ac:dyDescent="0.35">
      <c r="A271" t="s">
        <v>283</v>
      </c>
      <c r="B271" s="5">
        <v>45255</v>
      </c>
      <c r="C271" t="s">
        <v>1483</v>
      </c>
      <c r="D271" s="1" t="str">
        <f t="shared" si="9"/>
        <v>Printer</v>
      </c>
      <c r="E271" t="s">
        <v>2405</v>
      </c>
      <c r="F271">
        <v>4</v>
      </c>
      <c r="G271" s="7">
        <v>663.67</v>
      </c>
      <c r="H271" s="3" t="s">
        <v>2477</v>
      </c>
      <c r="I271" s="3" t="s">
        <v>3067</v>
      </c>
      <c r="J271" s="3" t="s">
        <v>3074</v>
      </c>
      <c r="K271" s="3" t="s">
        <v>3344</v>
      </c>
      <c r="L271" s="3">
        <v>7</v>
      </c>
      <c r="M271" s="10" t="s">
        <v>4276</v>
      </c>
      <c r="N271" s="3" t="s">
        <v>4282</v>
      </c>
      <c r="O271" s="7">
        <v>2654.68</v>
      </c>
      <c r="P271" s="3">
        <f t="shared" si="10"/>
        <v>2654.68</v>
      </c>
    </row>
    <row r="272" spans="1:16" x14ac:dyDescent="0.35">
      <c r="A272" t="s">
        <v>284</v>
      </c>
      <c r="B272" s="5">
        <v>45081</v>
      </c>
      <c r="C272" t="s">
        <v>1484</v>
      </c>
      <c r="D272" s="1" t="str">
        <f t="shared" si="9"/>
        <v>Monitor</v>
      </c>
      <c r="E272" t="s">
        <v>2407</v>
      </c>
      <c r="F272">
        <v>4</v>
      </c>
      <c r="G272" s="7">
        <v>309.91000000000003</v>
      </c>
      <c r="H272" s="3" t="s">
        <v>2640</v>
      </c>
      <c r="I272" s="3" t="s">
        <v>3065</v>
      </c>
      <c r="J272" s="3" t="s">
        <v>3070</v>
      </c>
      <c r="K272" s="3" t="s">
        <v>3345</v>
      </c>
      <c r="L272" s="3">
        <v>5</v>
      </c>
      <c r="M272" s="10" t="s">
        <v>4277</v>
      </c>
      <c r="N272" s="3" t="s">
        <v>4282</v>
      </c>
      <c r="O272" s="7">
        <v>1239.6400000000001</v>
      </c>
      <c r="P272" s="3">
        <f t="shared" si="10"/>
        <v>1239.6400000000001</v>
      </c>
    </row>
    <row r="273" spans="1:16" x14ac:dyDescent="0.35">
      <c r="A273" t="s">
        <v>285</v>
      </c>
      <c r="B273" s="5">
        <v>45013</v>
      </c>
      <c r="C273" t="s">
        <v>1485</v>
      </c>
      <c r="D273" s="1" t="str">
        <f t="shared" si="9"/>
        <v>Chair</v>
      </c>
      <c r="E273" t="s">
        <v>2403</v>
      </c>
      <c r="F273">
        <v>1</v>
      </c>
      <c r="G273" s="7">
        <v>542.07000000000005</v>
      </c>
      <c r="H273" s="3" t="s">
        <v>2641</v>
      </c>
      <c r="I273" s="3" t="s">
        <v>3069</v>
      </c>
      <c r="J273" s="3" t="s">
        <v>3070</v>
      </c>
      <c r="K273" s="3" t="s">
        <v>3346</v>
      </c>
      <c r="L273" s="3">
        <v>6</v>
      </c>
      <c r="M273" s="10" t="s">
        <v>4277</v>
      </c>
      <c r="N273" s="3" t="s">
        <v>4279</v>
      </c>
      <c r="O273" s="7">
        <v>542.07000000000005</v>
      </c>
      <c r="P273" s="3">
        <f t="shared" si="10"/>
        <v>542.07000000000005</v>
      </c>
    </row>
    <row r="274" spans="1:16" x14ac:dyDescent="0.35">
      <c r="A274" t="s">
        <v>286</v>
      </c>
      <c r="B274" s="5">
        <v>45188</v>
      </c>
      <c r="C274" t="s">
        <v>1486</v>
      </c>
      <c r="D274" s="1" t="str">
        <f t="shared" si="9"/>
        <v>Tablet</v>
      </c>
      <c r="E274" t="s">
        <v>2406</v>
      </c>
      <c r="F274">
        <v>2</v>
      </c>
      <c r="G274" s="7">
        <v>399.32</v>
      </c>
      <c r="H274" s="3" t="s">
        <v>2642</v>
      </c>
      <c r="I274" s="3" t="s">
        <v>3066</v>
      </c>
      <c r="J274" s="3" t="s">
        <v>3074</v>
      </c>
      <c r="K274" s="3" t="s">
        <v>3347</v>
      </c>
      <c r="L274" s="3">
        <v>6</v>
      </c>
      <c r="M274" s="10" t="s">
        <v>4277</v>
      </c>
      <c r="N274" s="3" t="s">
        <v>4278</v>
      </c>
      <c r="O274" s="7">
        <v>798.64</v>
      </c>
      <c r="P274" s="3">
        <f t="shared" si="10"/>
        <v>798.64</v>
      </c>
    </row>
    <row r="275" spans="1:16" x14ac:dyDescent="0.35">
      <c r="A275" t="s">
        <v>287</v>
      </c>
      <c r="B275" s="5">
        <v>45592</v>
      </c>
      <c r="C275" t="s">
        <v>1487</v>
      </c>
      <c r="D275" s="1" t="str">
        <f t="shared" si="9"/>
        <v>Phone</v>
      </c>
      <c r="E275" t="s">
        <v>2405</v>
      </c>
      <c r="F275">
        <v>2</v>
      </c>
      <c r="G275" s="7">
        <v>238.25</v>
      </c>
      <c r="H275" s="3" t="s">
        <v>2643</v>
      </c>
      <c r="I275" s="3" t="s">
        <v>3066</v>
      </c>
      <c r="J275" s="3" t="s">
        <v>3071</v>
      </c>
      <c r="K275" s="3" t="s">
        <v>3348</v>
      </c>
      <c r="L275" s="3">
        <v>7</v>
      </c>
      <c r="M275" s="10" t="s">
        <v>4276</v>
      </c>
      <c r="N275" s="3" t="s">
        <v>4280</v>
      </c>
      <c r="O275" s="7">
        <v>476.5</v>
      </c>
      <c r="P275" s="3">
        <f t="shared" si="10"/>
        <v>476.5</v>
      </c>
    </row>
    <row r="276" spans="1:16" x14ac:dyDescent="0.35">
      <c r="A276" t="s">
        <v>288</v>
      </c>
      <c r="B276" s="5">
        <v>44961</v>
      </c>
      <c r="C276" t="s">
        <v>1488</v>
      </c>
      <c r="D276" s="1" t="str">
        <f t="shared" si="9"/>
        <v>Chair</v>
      </c>
      <c r="E276" t="s">
        <v>2404</v>
      </c>
      <c r="F276">
        <v>2</v>
      </c>
      <c r="G276" s="7">
        <v>182.4</v>
      </c>
      <c r="H276" s="3" t="s">
        <v>2644</v>
      </c>
      <c r="I276" s="3" t="s">
        <v>3068</v>
      </c>
      <c r="J276" s="3" t="s">
        <v>3071</v>
      </c>
      <c r="K276" s="3" t="s">
        <v>3349</v>
      </c>
      <c r="L276" s="3">
        <v>5</v>
      </c>
      <c r="M276" s="10" t="s">
        <v>4275</v>
      </c>
      <c r="N276" s="3" t="s">
        <v>4279</v>
      </c>
      <c r="O276" s="7">
        <v>364.8</v>
      </c>
      <c r="P276" s="3">
        <f t="shared" si="10"/>
        <v>364.8</v>
      </c>
    </row>
    <row r="277" spans="1:16" x14ac:dyDescent="0.35">
      <c r="A277" t="s">
        <v>289</v>
      </c>
      <c r="B277" s="5">
        <v>45234</v>
      </c>
      <c r="C277" t="s">
        <v>1489</v>
      </c>
      <c r="D277" s="1" t="str">
        <f t="shared" si="9"/>
        <v>Printer</v>
      </c>
      <c r="E277" t="s">
        <v>2406</v>
      </c>
      <c r="F277">
        <v>2</v>
      </c>
      <c r="G277" s="7">
        <v>65.069999999999993</v>
      </c>
      <c r="H277" s="3" t="s">
        <v>2645</v>
      </c>
      <c r="I277" s="3" t="s">
        <v>3067</v>
      </c>
      <c r="J277" s="3" t="s">
        <v>3071</v>
      </c>
      <c r="K277" s="3" t="s">
        <v>3350</v>
      </c>
      <c r="L277" s="3">
        <v>4</v>
      </c>
      <c r="M277" s="10" t="s">
        <v>4275</v>
      </c>
      <c r="N277" s="3" t="s">
        <v>4282</v>
      </c>
      <c r="O277" s="7">
        <v>130.13999999999999</v>
      </c>
      <c r="P277" s="3">
        <f t="shared" si="10"/>
        <v>130.13999999999999</v>
      </c>
    </row>
    <row r="278" spans="1:16" x14ac:dyDescent="0.35">
      <c r="A278" t="s">
        <v>290</v>
      </c>
      <c r="B278" s="5">
        <v>45745</v>
      </c>
      <c r="C278" t="s">
        <v>1490</v>
      </c>
      <c r="D278" s="1" t="str">
        <f t="shared" si="9"/>
        <v>Chair</v>
      </c>
      <c r="E278" t="s">
        <v>2407</v>
      </c>
      <c r="F278">
        <v>2</v>
      </c>
      <c r="G278" s="7">
        <v>600.57000000000005</v>
      </c>
      <c r="H278" s="3" t="s">
        <v>2646</v>
      </c>
      <c r="I278" s="3" t="s">
        <v>3065</v>
      </c>
      <c r="J278" s="3" t="s">
        <v>3072</v>
      </c>
      <c r="K278" s="3" t="s">
        <v>3351</v>
      </c>
      <c r="L278" s="3">
        <v>3</v>
      </c>
      <c r="M278" s="10" t="s">
        <v>4277</v>
      </c>
      <c r="N278" s="3" t="s">
        <v>4278</v>
      </c>
      <c r="O278" s="7">
        <v>1201.1400000000001</v>
      </c>
      <c r="P278" s="3">
        <f t="shared" si="10"/>
        <v>1201.1400000000001</v>
      </c>
    </row>
    <row r="279" spans="1:16" x14ac:dyDescent="0.35">
      <c r="A279" t="s">
        <v>291</v>
      </c>
      <c r="B279" s="5">
        <v>45544</v>
      </c>
      <c r="C279" t="s">
        <v>1491</v>
      </c>
      <c r="D279" s="1" t="str">
        <f t="shared" si="9"/>
        <v>Laptop</v>
      </c>
      <c r="E279" t="s">
        <v>2406</v>
      </c>
      <c r="F279">
        <v>5</v>
      </c>
      <c r="G279" s="7">
        <v>90.92</v>
      </c>
      <c r="H279" s="3" t="s">
        <v>2647</v>
      </c>
      <c r="I279" s="3" t="s">
        <v>3067</v>
      </c>
      <c r="J279" s="3" t="s">
        <v>3073</v>
      </c>
      <c r="K279" s="3" t="s">
        <v>3352</v>
      </c>
      <c r="L279" s="3">
        <v>9</v>
      </c>
      <c r="M279" s="10" t="s">
        <v>4275</v>
      </c>
      <c r="N279" s="3" t="s">
        <v>4281</v>
      </c>
      <c r="O279" s="7">
        <v>454.6</v>
      </c>
      <c r="P279" s="3">
        <f t="shared" si="10"/>
        <v>454.6</v>
      </c>
    </row>
    <row r="280" spans="1:16" x14ac:dyDescent="0.35">
      <c r="A280" t="s">
        <v>292</v>
      </c>
      <c r="B280" s="5">
        <v>45614</v>
      </c>
      <c r="C280" t="s">
        <v>1492</v>
      </c>
      <c r="D280" s="1" t="str">
        <f t="shared" si="9"/>
        <v>Chair</v>
      </c>
      <c r="E280" t="s">
        <v>2408</v>
      </c>
      <c r="F280">
        <v>5</v>
      </c>
      <c r="G280" s="7">
        <v>362.46</v>
      </c>
      <c r="H280" s="3" t="s">
        <v>2648</v>
      </c>
      <c r="I280" s="3" t="s">
        <v>3069</v>
      </c>
      <c r="J280" s="3" t="s">
        <v>3073</v>
      </c>
      <c r="K280" s="3" t="s">
        <v>3353</v>
      </c>
      <c r="L280" s="3">
        <v>6</v>
      </c>
      <c r="M280" s="10" t="s">
        <v>4276</v>
      </c>
      <c r="N280" s="3" t="s">
        <v>4278</v>
      </c>
      <c r="O280" s="7">
        <v>1812.3</v>
      </c>
      <c r="P280" s="3">
        <f t="shared" si="10"/>
        <v>1812.3</v>
      </c>
    </row>
    <row r="281" spans="1:16" x14ac:dyDescent="0.35">
      <c r="A281" t="s">
        <v>293</v>
      </c>
      <c r="B281" s="5">
        <v>45219</v>
      </c>
      <c r="C281" t="s">
        <v>1493</v>
      </c>
      <c r="D281" s="1" t="str">
        <f t="shared" si="9"/>
        <v>Tablet</v>
      </c>
      <c r="E281" t="s">
        <v>2406</v>
      </c>
      <c r="F281">
        <v>3</v>
      </c>
      <c r="G281" s="7">
        <v>55.01</v>
      </c>
      <c r="H281" s="3" t="s">
        <v>2649</v>
      </c>
      <c r="I281" s="3" t="s">
        <v>3066</v>
      </c>
      <c r="J281" s="3" t="s">
        <v>3074</v>
      </c>
      <c r="K281" s="3" t="s">
        <v>3354</v>
      </c>
      <c r="L281" s="3">
        <v>7</v>
      </c>
      <c r="M281" s="10" t="s">
        <v>4277</v>
      </c>
      <c r="N281" s="3" t="s">
        <v>4280</v>
      </c>
      <c r="O281" s="7">
        <v>165.03</v>
      </c>
      <c r="P281" s="3">
        <f t="shared" si="10"/>
        <v>165.03</v>
      </c>
    </row>
    <row r="282" spans="1:16" x14ac:dyDescent="0.35">
      <c r="A282" t="s">
        <v>294</v>
      </c>
      <c r="B282" s="5">
        <v>45012</v>
      </c>
      <c r="C282" t="s">
        <v>1494</v>
      </c>
      <c r="D282" s="1" t="str">
        <f t="shared" si="9"/>
        <v>Desk</v>
      </c>
      <c r="E282" t="s">
        <v>2405</v>
      </c>
      <c r="F282">
        <v>3</v>
      </c>
      <c r="G282" s="7">
        <v>404.62</v>
      </c>
      <c r="H282" s="3" t="s">
        <v>2650</v>
      </c>
      <c r="I282" s="3" t="s">
        <v>3068</v>
      </c>
      <c r="J282" s="3" t="s">
        <v>3073</v>
      </c>
      <c r="K282" s="3" t="s">
        <v>3355</v>
      </c>
      <c r="L282" s="3">
        <v>6</v>
      </c>
      <c r="M282" s="10" t="s">
        <v>4276</v>
      </c>
      <c r="N282" s="3" t="s">
        <v>4278</v>
      </c>
      <c r="O282" s="7">
        <v>1213.8599999999999</v>
      </c>
      <c r="P282" s="3">
        <f t="shared" si="10"/>
        <v>1213.8600000000001</v>
      </c>
    </row>
    <row r="283" spans="1:16" x14ac:dyDescent="0.35">
      <c r="A283" t="s">
        <v>295</v>
      </c>
      <c r="B283" s="5">
        <v>45134</v>
      </c>
      <c r="C283" t="s">
        <v>1495</v>
      </c>
      <c r="D283" s="1" t="str">
        <f t="shared" si="9"/>
        <v>Printer</v>
      </c>
      <c r="E283" t="s">
        <v>2409</v>
      </c>
      <c r="F283">
        <v>4</v>
      </c>
      <c r="G283" s="7">
        <v>654.79</v>
      </c>
      <c r="H283" s="3" t="s">
        <v>2651</v>
      </c>
      <c r="I283" s="3" t="s">
        <v>3069</v>
      </c>
      <c r="J283" s="3" t="s">
        <v>3074</v>
      </c>
      <c r="K283" s="3" t="s">
        <v>3356</v>
      </c>
      <c r="L283" s="3">
        <v>9</v>
      </c>
      <c r="N283" s="3" t="s">
        <v>4279</v>
      </c>
      <c r="O283" s="7">
        <v>2619.16</v>
      </c>
      <c r="P283" s="3">
        <f t="shared" si="10"/>
        <v>2619.16</v>
      </c>
    </row>
    <row r="284" spans="1:16" x14ac:dyDescent="0.35">
      <c r="A284" t="s">
        <v>296</v>
      </c>
      <c r="B284" s="5">
        <v>45769</v>
      </c>
      <c r="C284" t="s">
        <v>1496</v>
      </c>
      <c r="D284" s="1" t="str">
        <f t="shared" si="9"/>
        <v>Laptop</v>
      </c>
      <c r="E284" t="s">
        <v>2407</v>
      </c>
      <c r="F284">
        <v>4</v>
      </c>
      <c r="G284" s="7">
        <v>637.79</v>
      </c>
      <c r="H284" s="3" t="s">
        <v>2652</v>
      </c>
      <c r="I284" s="3" t="s">
        <v>3068</v>
      </c>
      <c r="J284" s="3" t="s">
        <v>3071</v>
      </c>
      <c r="K284" s="3" t="s">
        <v>3357</v>
      </c>
      <c r="L284" s="3">
        <v>9</v>
      </c>
      <c r="M284" s="10" t="s">
        <v>4276</v>
      </c>
      <c r="N284" s="3" t="s">
        <v>4282</v>
      </c>
      <c r="O284" s="7">
        <v>2551.16</v>
      </c>
      <c r="P284" s="3">
        <f t="shared" si="10"/>
        <v>2551.16</v>
      </c>
    </row>
    <row r="285" spans="1:16" x14ac:dyDescent="0.35">
      <c r="A285" t="s">
        <v>297</v>
      </c>
      <c r="B285" s="5">
        <v>45716</v>
      </c>
      <c r="C285" t="s">
        <v>1497</v>
      </c>
      <c r="D285" s="1" t="str">
        <f t="shared" si="9"/>
        <v>Laptop</v>
      </c>
      <c r="E285" t="s">
        <v>2408</v>
      </c>
      <c r="F285">
        <v>4</v>
      </c>
      <c r="G285" s="7">
        <v>540.33000000000004</v>
      </c>
      <c r="H285" s="3" t="s">
        <v>2653</v>
      </c>
      <c r="I285" s="3" t="s">
        <v>3069</v>
      </c>
      <c r="J285" s="3" t="s">
        <v>3070</v>
      </c>
      <c r="K285" s="3" t="s">
        <v>3358</v>
      </c>
      <c r="L285" s="3">
        <v>6</v>
      </c>
      <c r="N285" s="3" t="s">
        <v>4282</v>
      </c>
      <c r="O285" s="7">
        <v>2161.3200000000002</v>
      </c>
      <c r="P285" s="3">
        <f t="shared" si="10"/>
        <v>2161.3200000000002</v>
      </c>
    </row>
    <row r="286" spans="1:16" x14ac:dyDescent="0.35">
      <c r="A286" t="s">
        <v>298</v>
      </c>
      <c r="B286" s="5">
        <v>44973</v>
      </c>
      <c r="C286" t="s">
        <v>1498</v>
      </c>
      <c r="D286" s="1" t="str">
        <f t="shared" si="9"/>
        <v>Phone</v>
      </c>
      <c r="E286" t="s">
        <v>2408</v>
      </c>
      <c r="F286">
        <v>5</v>
      </c>
      <c r="G286" s="7">
        <v>208.17</v>
      </c>
      <c r="H286" s="3" t="s">
        <v>2654</v>
      </c>
      <c r="I286" s="3" t="s">
        <v>3067</v>
      </c>
      <c r="J286" s="3" t="s">
        <v>3072</v>
      </c>
      <c r="K286" s="3" t="s">
        <v>3359</v>
      </c>
      <c r="L286" s="3">
        <v>6</v>
      </c>
      <c r="M286" s="10" t="s">
        <v>4275</v>
      </c>
      <c r="N286" s="3" t="s">
        <v>4281</v>
      </c>
      <c r="O286" s="7">
        <v>1040.8499999999999</v>
      </c>
      <c r="P286" s="3">
        <f t="shared" si="10"/>
        <v>1040.8499999999999</v>
      </c>
    </row>
    <row r="287" spans="1:16" x14ac:dyDescent="0.35">
      <c r="A287" t="s">
        <v>299</v>
      </c>
      <c r="B287" s="5">
        <v>45818</v>
      </c>
      <c r="C287" t="s">
        <v>1499</v>
      </c>
      <c r="D287" s="1" t="str">
        <f t="shared" si="9"/>
        <v>Monitor</v>
      </c>
      <c r="E287" t="s">
        <v>2404</v>
      </c>
      <c r="F287">
        <v>1</v>
      </c>
      <c r="G287" s="7">
        <v>338.31</v>
      </c>
      <c r="H287" s="3" t="s">
        <v>2643</v>
      </c>
      <c r="I287" s="3" t="s">
        <v>3066</v>
      </c>
      <c r="J287" s="3" t="s">
        <v>3073</v>
      </c>
      <c r="K287" s="3" t="s">
        <v>3360</v>
      </c>
      <c r="L287" s="3">
        <v>3</v>
      </c>
      <c r="N287" s="3" t="s">
        <v>4282</v>
      </c>
      <c r="O287" s="7">
        <v>338.31</v>
      </c>
      <c r="P287" s="3">
        <f t="shared" si="10"/>
        <v>338.31</v>
      </c>
    </row>
    <row r="288" spans="1:16" x14ac:dyDescent="0.35">
      <c r="A288" t="s">
        <v>300</v>
      </c>
      <c r="B288" s="5">
        <v>45754</v>
      </c>
      <c r="C288" t="s">
        <v>1500</v>
      </c>
      <c r="D288" s="1" t="str">
        <f t="shared" si="9"/>
        <v>Chair</v>
      </c>
      <c r="E288" t="s">
        <v>2403</v>
      </c>
      <c r="F288">
        <v>3</v>
      </c>
      <c r="G288" s="7">
        <v>139.44999999999999</v>
      </c>
      <c r="H288" s="3" t="s">
        <v>2522</v>
      </c>
      <c r="I288" s="3" t="s">
        <v>3068</v>
      </c>
      <c r="J288" s="3" t="s">
        <v>3072</v>
      </c>
      <c r="K288" s="3" t="s">
        <v>3361</v>
      </c>
      <c r="L288" s="3">
        <v>8</v>
      </c>
      <c r="M288" s="10" t="s">
        <v>4277</v>
      </c>
      <c r="N288" s="3" t="s">
        <v>4282</v>
      </c>
      <c r="O288" s="7">
        <v>418.35</v>
      </c>
      <c r="P288" s="3">
        <f t="shared" si="10"/>
        <v>418.34999999999997</v>
      </c>
    </row>
    <row r="289" spans="1:16" x14ac:dyDescent="0.35">
      <c r="A289" t="s">
        <v>301</v>
      </c>
      <c r="B289" s="5">
        <v>45254</v>
      </c>
      <c r="C289" t="s">
        <v>1501</v>
      </c>
      <c r="D289" s="1" t="str">
        <f t="shared" si="9"/>
        <v>Laptop</v>
      </c>
      <c r="E289" t="s">
        <v>2406</v>
      </c>
      <c r="F289">
        <v>4</v>
      </c>
      <c r="G289" s="7">
        <v>655.17999999999995</v>
      </c>
      <c r="H289" s="3" t="s">
        <v>2655</v>
      </c>
      <c r="I289" s="3" t="s">
        <v>3066</v>
      </c>
      <c r="J289" s="3" t="s">
        <v>3070</v>
      </c>
      <c r="K289" s="3" t="s">
        <v>3362</v>
      </c>
      <c r="L289" s="3">
        <v>5</v>
      </c>
      <c r="N289" s="3" t="s">
        <v>4281</v>
      </c>
      <c r="O289" s="7">
        <v>2620.7199999999998</v>
      </c>
      <c r="P289" s="3">
        <f t="shared" si="10"/>
        <v>2620.7199999999998</v>
      </c>
    </row>
    <row r="290" spans="1:16" x14ac:dyDescent="0.35">
      <c r="A290" t="s">
        <v>302</v>
      </c>
      <c r="B290" s="5">
        <v>44997</v>
      </c>
      <c r="C290" t="s">
        <v>1502</v>
      </c>
      <c r="D290" s="1" t="str">
        <f t="shared" si="9"/>
        <v>Chair</v>
      </c>
      <c r="E290" t="s">
        <v>2408</v>
      </c>
      <c r="F290">
        <v>4</v>
      </c>
      <c r="G290" s="7">
        <v>512.75</v>
      </c>
      <c r="H290" s="3" t="s">
        <v>2656</v>
      </c>
      <c r="I290" s="3" t="s">
        <v>3065</v>
      </c>
      <c r="J290" s="3" t="s">
        <v>3072</v>
      </c>
      <c r="K290" s="3" t="s">
        <v>3363</v>
      </c>
      <c r="L290" s="3">
        <v>8</v>
      </c>
      <c r="M290" s="10" t="s">
        <v>4277</v>
      </c>
      <c r="N290" s="3" t="s">
        <v>4282</v>
      </c>
      <c r="O290" s="7">
        <v>2051</v>
      </c>
      <c r="P290" s="3">
        <f t="shared" si="10"/>
        <v>2051</v>
      </c>
    </row>
    <row r="291" spans="1:16" x14ac:dyDescent="0.35">
      <c r="A291" t="s">
        <v>303</v>
      </c>
      <c r="B291" s="5">
        <v>45133</v>
      </c>
      <c r="C291" t="s">
        <v>1503</v>
      </c>
      <c r="D291" s="1" t="str">
        <f t="shared" si="9"/>
        <v>Chair</v>
      </c>
      <c r="E291" t="s">
        <v>2406</v>
      </c>
      <c r="F291">
        <v>4</v>
      </c>
      <c r="G291" s="7">
        <v>160.49</v>
      </c>
      <c r="H291" s="3" t="s">
        <v>2420</v>
      </c>
      <c r="I291" s="3" t="s">
        <v>3067</v>
      </c>
      <c r="J291" s="3" t="s">
        <v>3070</v>
      </c>
      <c r="K291" s="3" t="s">
        <v>3364</v>
      </c>
      <c r="L291" s="3">
        <v>8</v>
      </c>
      <c r="M291" s="10" t="s">
        <v>4277</v>
      </c>
      <c r="N291" s="3" t="s">
        <v>4279</v>
      </c>
      <c r="O291" s="7">
        <v>641.96</v>
      </c>
      <c r="P291" s="3">
        <f t="shared" si="10"/>
        <v>641.96</v>
      </c>
    </row>
    <row r="292" spans="1:16" x14ac:dyDescent="0.35">
      <c r="A292" t="s">
        <v>304</v>
      </c>
      <c r="B292" s="5">
        <v>45051</v>
      </c>
      <c r="C292" t="s">
        <v>1504</v>
      </c>
      <c r="D292" s="1" t="str">
        <f t="shared" si="9"/>
        <v>Phone</v>
      </c>
      <c r="E292" t="s">
        <v>2406</v>
      </c>
      <c r="F292">
        <v>3</v>
      </c>
      <c r="G292" s="7">
        <v>99.9</v>
      </c>
      <c r="H292" s="3" t="s">
        <v>2575</v>
      </c>
      <c r="I292" s="3" t="s">
        <v>3069</v>
      </c>
      <c r="J292" s="3" t="s">
        <v>3073</v>
      </c>
      <c r="K292" s="3" t="s">
        <v>3365</v>
      </c>
      <c r="L292" s="3">
        <v>8</v>
      </c>
      <c r="M292" s="10" t="s">
        <v>4276</v>
      </c>
      <c r="N292" s="3" t="s">
        <v>4281</v>
      </c>
      <c r="O292" s="7">
        <v>299.7</v>
      </c>
      <c r="P292" s="3">
        <f t="shared" si="10"/>
        <v>299.70000000000005</v>
      </c>
    </row>
    <row r="293" spans="1:16" x14ac:dyDescent="0.35">
      <c r="A293" t="s">
        <v>305</v>
      </c>
      <c r="B293" s="5">
        <v>45424</v>
      </c>
      <c r="C293" t="s">
        <v>1505</v>
      </c>
      <c r="D293" s="1" t="str">
        <f t="shared" si="9"/>
        <v>Monitor</v>
      </c>
      <c r="E293" t="s">
        <v>2404</v>
      </c>
      <c r="F293">
        <v>2</v>
      </c>
      <c r="G293" s="7">
        <v>345.01</v>
      </c>
      <c r="H293" s="3" t="s">
        <v>2657</v>
      </c>
      <c r="I293" s="3" t="s">
        <v>3067</v>
      </c>
      <c r="J293" s="3" t="s">
        <v>3073</v>
      </c>
      <c r="K293" s="3" t="s">
        <v>3366</v>
      </c>
      <c r="L293" s="3">
        <v>6</v>
      </c>
      <c r="M293" s="10" t="s">
        <v>4276</v>
      </c>
      <c r="N293" s="3" t="s">
        <v>4282</v>
      </c>
      <c r="O293" s="7">
        <v>690.02</v>
      </c>
      <c r="P293" s="3">
        <f t="shared" si="10"/>
        <v>690.02</v>
      </c>
    </row>
    <row r="294" spans="1:16" x14ac:dyDescent="0.35">
      <c r="A294" t="s">
        <v>306</v>
      </c>
      <c r="B294" s="5">
        <v>45672</v>
      </c>
      <c r="C294" t="s">
        <v>1506</v>
      </c>
      <c r="D294" s="1" t="str">
        <f t="shared" si="9"/>
        <v>Tablet</v>
      </c>
      <c r="E294" t="s">
        <v>2403</v>
      </c>
      <c r="F294">
        <v>1</v>
      </c>
      <c r="G294" s="7">
        <v>65.95</v>
      </c>
      <c r="H294" s="3" t="s">
        <v>2594</v>
      </c>
      <c r="I294" s="3" t="s">
        <v>3067</v>
      </c>
      <c r="J294" s="3" t="s">
        <v>3073</v>
      </c>
      <c r="K294" s="3" t="s">
        <v>3367</v>
      </c>
      <c r="L294" s="3">
        <v>5</v>
      </c>
      <c r="N294" s="3" t="s">
        <v>4281</v>
      </c>
      <c r="O294" s="7">
        <v>65.95</v>
      </c>
      <c r="P294" s="3">
        <f t="shared" si="10"/>
        <v>65.95</v>
      </c>
    </row>
    <row r="295" spans="1:16" x14ac:dyDescent="0.35">
      <c r="A295" t="s">
        <v>307</v>
      </c>
      <c r="B295" s="5">
        <v>44973</v>
      </c>
      <c r="C295" t="s">
        <v>1507</v>
      </c>
      <c r="D295" s="1" t="str">
        <f t="shared" si="9"/>
        <v>Phone</v>
      </c>
      <c r="E295" t="s">
        <v>2405</v>
      </c>
      <c r="F295">
        <v>4</v>
      </c>
      <c r="G295" s="7">
        <v>463.04</v>
      </c>
      <c r="H295" s="3" t="s">
        <v>2658</v>
      </c>
      <c r="I295" s="3" t="s">
        <v>3068</v>
      </c>
      <c r="J295" s="3" t="s">
        <v>3072</v>
      </c>
      <c r="K295" s="3" t="s">
        <v>3368</v>
      </c>
      <c r="L295" s="3">
        <v>9</v>
      </c>
      <c r="N295" s="3" t="s">
        <v>4278</v>
      </c>
      <c r="O295" s="7">
        <v>1852.16</v>
      </c>
      <c r="P295" s="3">
        <f t="shared" si="10"/>
        <v>1852.16</v>
      </c>
    </row>
    <row r="296" spans="1:16" x14ac:dyDescent="0.35">
      <c r="A296" t="s">
        <v>308</v>
      </c>
      <c r="B296" s="5">
        <v>45748</v>
      </c>
      <c r="C296" t="s">
        <v>1508</v>
      </c>
      <c r="D296" s="1" t="str">
        <f t="shared" si="9"/>
        <v>Printer</v>
      </c>
      <c r="E296" t="s">
        <v>2404</v>
      </c>
      <c r="F296">
        <v>2</v>
      </c>
      <c r="G296" s="7">
        <v>297.70999999999998</v>
      </c>
      <c r="H296" s="3" t="s">
        <v>2659</v>
      </c>
      <c r="I296" s="3" t="s">
        <v>3066</v>
      </c>
      <c r="J296" s="3" t="s">
        <v>3070</v>
      </c>
      <c r="K296" s="3" t="s">
        <v>3369</v>
      </c>
      <c r="L296" s="3">
        <v>7</v>
      </c>
      <c r="M296" s="10" t="s">
        <v>4275</v>
      </c>
      <c r="N296" s="3" t="s">
        <v>4279</v>
      </c>
      <c r="O296" s="7">
        <v>595.41999999999996</v>
      </c>
      <c r="P296" s="3">
        <f t="shared" si="10"/>
        <v>595.41999999999996</v>
      </c>
    </row>
    <row r="297" spans="1:16" x14ac:dyDescent="0.35">
      <c r="A297" t="s">
        <v>309</v>
      </c>
      <c r="B297" s="5">
        <v>44951</v>
      </c>
      <c r="C297" t="s">
        <v>1509</v>
      </c>
      <c r="D297" s="1" t="str">
        <f t="shared" si="9"/>
        <v>Desk</v>
      </c>
      <c r="E297" t="s">
        <v>2407</v>
      </c>
      <c r="F297">
        <v>5</v>
      </c>
      <c r="G297" s="7">
        <v>107.48</v>
      </c>
      <c r="H297" s="3" t="s">
        <v>2660</v>
      </c>
      <c r="I297" s="3" t="s">
        <v>3065</v>
      </c>
      <c r="J297" s="3" t="s">
        <v>3071</v>
      </c>
      <c r="K297" s="3" t="s">
        <v>3370</v>
      </c>
      <c r="L297" s="3">
        <v>9</v>
      </c>
      <c r="M297" s="10" t="s">
        <v>4276</v>
      </c>
      <c r="N297" s="3" t="s">
        <v>4280</v>
      </c>
      <c r="O297" s="7">
        <v>537.4</v>
      </c>
      <c r="P297" s="3">
        <f t="shared" si="10"/>
        <v>537.4</v>
      </c>
    </row>
    <row r="298" spans="1:16" x14ac:dyDescent="0.35">
      <c r="A298" t="s">
        <v>310</v>
      </c>
      <c r="B298" s="5">
        <v>45462</v>
      </c>
      <c r="C298" t="s">
        <v>1510</v>
      </c>
      <c r="D298" s="1" t="str">
        <f t="shared" si="9"/>
        <v>Desk</v>
      </c>
      <c r="E298" t="s">
        <v>2409</v>
      </c>
      <c r="F298">
        <v>5</v>
      </c>
      <c r="G298" s="7">
        <v>638.79999999999995</v>
      </c>
      <c r="H298" s="3" t="s">
        <v>2458</v>
      </c>
      <c r="I298" s="3" t="s">
        <v>3065</v>
      </c>
      <c r="J298" s="3" t="s">
        <v>3071</v>
      </c>
      <c r="K298" s="3" t="s">
        <v>3371</v>
      </c>
      <c r="L298" s="3">
        <v>10</v>
      </c>
      <c r="M298" s="10" t="s">
        <v>4277</v>
      </c>
      <c r="N298" s="3" t="s">
        <v>4279</v>
      </c>
      <c r="O298" s="7">
        <v>3194</v>
      </c>
      <c r="P298" s="3">
        <f t="shared" si="10"/>
        <v>3194</v>
      </c>
    </row>
    <row r="299" spans="1:16" x14ac:dyDescent="0.35">
      <c r="A299" t="s">
        <v>311</v>
      </c>
      <c r="B299" s="5">
        <v>44979</v>
      </c>
      <c r="C299" t="s">
        <v>1511</v>
      </c>
      <c r="D299" s="1" t="str">
        <f t="shared" si="9"/>
        <v>Printer</v>
      </c>
      <c r="E299" t="s">
        <v>2409</v>
      </c>
      <c r="F299">
        <v>2</v>
      </c>
      <c r="G299" s="7">
        <v>493.88</v>
      </c>
      <c r="H299" s="3" t="s">
        <v>2661</v>
      </c>
      <c r="I299" s="3" t="s">
        <v>3067</v>
      </c>
      <c r="J299" s="3" t="s">
        <v>3072</v>
      </c>
      <c r="K299" s="3" t="s">
        <v>3372</v>
      </c>
      <c r="L299" s="3">
        <v>7</v>
      </c>
      <c r="M299" s="10" t="s">
        <v>4275</v>
      </c>
      <c r="N299" s="3" t="s">
        <v>4278</v>
      </c>
      <c r="O299" s="7">
        <v>987.76</v>
      </c>
      <c r="P299" s="3">
        <f t="shared" si="10"/>
        <v>987.76</v>
      </c>
    </row>
    <row r="300" spans="1:16" x14ac:dyDescent="0.35">
      <c r="A300" t="s">
        <v>312</v>
      </c>
      <c r="B300" s="5">
        <v>45279</v>
      </c>
      <c r="C300" t="s">
        <v>1512</v>
      </c>
      <c r="D300" s="1" t="str">
        <f t="shared" si="9"/>
        <v>Monitor</v>
      </c>
      <c r="E300" t="s">
        <v>2407</v>
      </c>
      <c r="F300">
        <v>4</v>
      </c>
      <c r="G300" s="7">
        <v>301.17</v>
      </c>
      <c r="H300" s="3" t="s">
        <v>2450</v>
      </c>
      <c r="I300" s="3" t="s">
        <v>3066</v>
      </c>
      <c r="J300" s="3" t="s">
        <v>3071</v>
      </c>
      <c r="K300" s="3" t="s">
        <v>3373</v>
      </c>
      <c r="L300" s="3">
        <v>6</v>
      </c>
      <c r="N300" s="3" t="s">
        <v>4280</v>
      </c>
      <c r="O300" s="7">
        <v>1204.68</v>
      </c>
      <c r="P300" s="3">
        <f t="shared" si="10"/>
        <v>1204.68</v>
      </c>
    </row>
    <row r="301" spans="1:16" x14ac:dyDescent="0.35">
      <c r="A301" t="s">
        <v>313</v>
      </c>
      <c r="B301" s="5">
        <v>45311</v>
      </c>
      <c r="C301" t="s">
        <v>1513</v>
      </c>
      <c r="D301" s="1" t="str">
        <f t="shared" si="9"/>
        <v>Phone</v>
      </c>
      <c r="E301" t="s">
        <v>2403</v>
      </c>
      <c r="F301">
        <v>1</v>
      </c>
      <c r="G301" s="7">
        <v>278.66000000000003</v>
      </c>
      <c r="H301" s="3" t="s">
        <v>2662</v>
      </c>
      <c r="I301" s="3" t="s">
        <v>3068</v>
      </c>
      <c r="J301" s="3" t="s">
        <v>3071</v>
      </c>
      <c r="K301" s="3" t="s">
        <v>3374</v>
      </c>
      <c r="L301" s="3">
        <v>2</v>
      </c>
      <c r="M301" s="10" t="s">
        <v>4276</v>
      </c>
      <c r="N301" s="3" t="s">
        <v>4278</v>
      </c>
      <c r="O301" s="7">
        <v>278.66000000000003</v>
      </c>
      <c r="P301" s="3">
        <f t="shared" si="10"/>
        <v>278.66000000000003</v>
      </c>
    </row>
    <row r="302" spans="1:16" x14ac:dyDescent="0.35">
      <c r="A302" t="s">
        <v>314</v>
      </c>
      <c r="B302" s="5">
        <v>45537</v>
      </c>
      <c r="C302" t="s">
        <v>1514</v>
      </c>
      <c r="D302" s="1" t="str">
        <f t="shared" si="9"/>
        <v>Chair</v>
      </c>
      <c r="E302" t="s">
        <v>2404</v>
      </c>
      <c r="F302">
        <v>1</v>
      </c>
      <c r="G302" s="7">
        <v>287.45999999999998</v>
      </c>
      <c r="H302" s="3" t="s">
        <v>2663</v>
      </c>
      <c r="I302" s="3" t="s">
        <v>3065</v>
      </c>
      <c r="J302" s="3" t="s">
        <v>3072</v>
      </c>
      <c r="K302" s="3" t="s">
        <v>3375</v>
      </c>
      <c r="L302" s="3">
        <v>3</v>
      </c>
      <c r="M302" s="10" t="s">
        <v>4276</v>
      </c>
      <c r="N302" s="3" t="s">
        <v>4281</v>
      </c>
      <c r="O302" s="7">
        <v>287.45999999999998</v>
      </c>
      <c r="P302" s="3">
        <f t="shared" si="10"/>
        <v>287.45999999999998</v>
      </c>
    </row>
    <row r="303" spans="1:16" x14ac:dyDescent="0.35">
      <c r="A303" t="s">
        <v>315</v>
      </c>
      <c r="B303" s="5">
        <v>45057</v>
      </c>
      <c r="C303" t="s">
        <v>1515</v>
      </c>
      <c r="D303" s="1" t="str">
        <f t="shared" si="9"/>
        <v>Chair</v>
      </c>
      <c r="E303" t="s">
        <v>2406</v>
      </c>
      <c r="F303">
        <v>1</v>
      </c>
      <c r="G303" s="7">
        <v>583.99</v>
      </c>
      <c r="H303" s="3" t="s">
        <v>2664</v>
      </c>
      <c r="I303" s="3" t="s">
        <v>3069</v>
      </c>
      <c r="J303" s="3" t="s">
        <v>3071</v>
      </c>
      <c r="K303" s="3" t="s">
        <v>3376</v>
      </c>
      <c r="L303" s="3">
        <v>2</v>
      </c>
      <c r="M303" s="10" t="s">
        <v>4275</v>
      </c>
      <c r="N303" s="3" t="s">
        <v>4280</v>
      </c>
      <c r="O303" s="7">
        <v>583.99</v>
      </c>
      <c r="P303" s="3">
        <f t="shared" si="10"/>
        <v>583.99</v>
      </c>
    </row>
    <row r="304" spans="1:16" x14ac:dyDescent="0.35">
      <c r="A304" t="s">
        <v>316</v>
      </c>
      <c r="B304" s="5">
        <v>45062</v>
      </c>
      <c r="C304" t="s">
        <v>1516</v>
      </c>
      <c r="D304" s="1" t="str">
        <f t="shared" si="9"/>
        <v>Tablet</v>
      </c>
      <c r="E304" t="s">
        <v>2406</v>
      </c>
      <c r="F304">
        <v>3</v>
      </c>
      <c r="G304" s="7">
        <v>468.74</v>
      </c>
      <c r="H304" s="3" t="s">
        <v>2665</v>
      </c>
      <c r="I304" s="3" t="s">
        <v>3069</v>
      </c>
      <c r="J304" s="3" t="s">
        <v>3074</v>
      </c>
      <c r="K304" s="3" t="s">
        <v>3377</v>
      </c>
      <c r="L304" s="3">
        <v>4</v>
      </c>
      <c r="M304" s="10" t="s">
        <v>4276</v>
      </c>
      <c r="N304" s="3" t="s">
        <v>4278</v>
      </c>
      <c r="O304" s="7">
        <v>1406.22</v>
      </c>
      <c r="P304" s="3">
        <f t="shared" si="10"/>
        <v>1406.22</v>
      </c>
    </row>
    <row r="305" spans="1:16" x14ac:dyDescent="0.35">
      <c r="A305" t="s">
        <v>317</v>
      </c>
      <c r="B305" s="5">
        <v>45633</v>
      </c>
      <c r="C305" t="s">
        <v>1517</v>
      </c>
      <c r="D305" s="1" t="str">
        <f t="shared" si="9"/>
        <v>Monitor</v>
      </c>
      <c r="E305" t="s">
        <v>2405</v>
      </c>
      <c r="F305">
        <v>1</v>
      </c>
      <c r="G305" s="7">
        <v>30.54</v>
      </c>
      <c r="H305" s="3" t="s">
        <v>2666</v>
      </c>
      <c r="I305" s="3" t="s">
        <v>3065</v>
      </c>
      <c r="J305" s="3" t="s">
        <v>3072</v>
      </c>
      <c r="K305" s="3" t="s">
        <v>3378</v>
      </c>
      <c r="L305" s="3">
        <v>1</v>
      </c>
      <c r="N305" s="3" t="s">
        <v>4282</v>
      </c>
      <c r="O305" s="7">
        <v>30.54</v>
      </c>
      <c r="P305" s="3">
        <f t="shared" si="10"/>
        <v>30.54</v>
      </c>
    </row>
    <row r="306" spans="1:16" x14ac:dyDescent="0.35">
      <c r="A306" t="s">
        <v>318</v>
      </c>
      <c r="B306" s="5">
        <v>45583</v>
      </c>
      <c r="C306" t="s">
        <v>1518</v>
      </c>
      <c r="D306" s="1" t="str">
        <f t="shared" si="9"/>
        <v>Laptop</v>
      </c>
      <c r="E306" t="s">
        <v>2403</v>
      </c>
      <c r="F306">
        <v>5</v>
      </c>
      <c r="G306" s="7">
        <v>408.73</v>
      </c>
      <c r="H306" s="3" t="s">
        <v>2667</v>
      </c>
      <c r="I306" s="3" t="s">
        <v>3068</v>
      </c>
      <c r="J306" s="3" t="s">
        <v>3073</v>
      </c>
      <c r="K306" s="3" t="s">
        <v>3379</v>
      </c>
      <c r="L306" s="3">
        <v>10</v>
      </c>
      <c r="M306" s="10" t="s">
        <v>4276</v>
      </c>
      <c r="N306" s="3" t="s">
        <v>4278</v>
      </c>
      <c r="O306" s="7">
        <v>2043.65</v>
      </c>
      <c r="P306" s="3">
        <f t="shared" si="10"/>
        <v>2043.65</v>
      </c>
    </row>
    <row r="307" spans="1:16" x14ac:dyDescent="0.35">
      <c r="A307" t="s">
        <v>319</v>
      </c>
      <c r="B307" s="5">
        <v>45255</v>
      </c>
      <c r="C307" t="s">
        <v>1519</v>
      </c>
      <c r="D307" s="1" t="str">
        <f t="shared" si="9"/>
        <v>Printer</v>
      </c>
      <c r="E307" t="s">
        <v>2408</v>
      </c>
      <c r="F307">
        <v>4</v>
      </c>
      <c r="G307" s="7">
        <v>126.89</v>
      </c>
      <c r="H307" s="3" t="s">
        <v>2668</v>
      </c>
      <c r="I307" s="3" t="s">
        <v>3069</v>
      </c>
      <c r="J307" s="3" t="s">
        <v>3074</v>
      </c>
      <c r="K307" s="3" t="s">
        <v>3380</v>
      </c>
      <c r="L307" s="3">
        <v>9</v>
      </c>
      <c r="M307" s="10" t="s">
        <v>4276</v>
      </c>
      <c r="N307" s="3" t="s">
        <v>4278</v>
      </c>
      <c r="O307" s="7">
        <v>507.56</v>
      </c>
      <c r="P307" s="3">
        <f t="shared" si="10"/>
        <v>507.56</v>
      </c>
    </row>
    <row r="308" spans="1:16" x14ac:dyDescent="0.35">
      <c r="A308" t="s">
        <v>320</v>
      </c>
      <c r="B308" s="5">
        <v>45450</v>
      </c>
      <c r="C308" t="s">
        <v>1520</v>
      </c>
      <c r="D308" s="1" t="str">
        <f t="shared" si="9"/>
        <v>Laptop</v>
      </c>
      <c r="E308" t="s">
        <v>2407</v>
      </c>
      <c r="F308">
        <v>2</v>
      </c>
      <c r="G308" s="7">
        <v>57.07</v>
      </c>
      <c r="H308" s="3" t="s">
        <v>2669</v>
      </c>
      <c r="I308" s="3" t="s">
        <v>3065</v>
      </c>
      <c r="J308" s="3" t="s">
        <v>3072</v>
      </c>
      <c r="K308" s="3" t="s">
        <v>3381</v>
      </c>
      <c r="L308" s="3">
        <v>3</v>
      </c>
      <c r="M308" s="10" t="s">
        <v>4275</v>
      </c>
      <c r="N308" s="3" t="s">
        <v>4278</v>
      </c>
      <c r="O308" s="7">
        <v>114.14</v>
      </c>
      <c r="P308" s="3">
        <f t="shared" si="10"/>
        <v>114.14</v>
      </c>
    </row>
    <row r="309" spans="1:16" x14ac:dyDescent="0.35">
      <c r="A309" t="s">
        <v>321</v>
      </c>
      <c r="B309" s="5">
        <v>45108</v>
      </c>
      <c r="C309" t="s">
        <v>1521</v>
      </c>
      <c r="D309" s="1" t="str">
        <f t="shared" si="9"/>
        <v>Printer</v>
      </c>
      <c r="E309" t="s">
        <v>2408</v>
      </c>
      <c r="F309">
        <v>3</v>
      </c>
      <c r="G309" s="7">
        <v>557.41</v>
      </c>
      <c r="H309" s="3" t="s">
        <v>2670</v>
      </c>
      <c r="I309" s="3" t="s">
        <v>3066</v>
      </c>
      <c r="J309" s="3" t="s">
        <v>3073</v>
      </c>
      <c r="K309" s="3" t="s">
        <v>3382</v>
      </c>
      <c r="L309" s="3">
        <v>4</v>
      </c>
      <c r="N309" s="3" t="s">
        <v>4280</v>
      </c>
      <c r="O309" s="7">
        <v>1672.23</v>
      </c>
      <c r="P309" s="3">
        <f t="shared" si="10"/>
        <v>1672.23</v>
      </c>
    </row>
    <row r="310" spans="1:16" x14ac:dyDescent="0.35">
      <c r="A310" t="s">
        <v>322</v>
      </c>
      <c r="B310" s="5">
        <v>45271</v>
      </c>
      <c r="C310" t="s">
        <v>1522</v>
      </c>
      <c r="D310" s="1" t="str">
        <f t="shared" si="9"/>
        <v>Chair</v>
      </c>
      <c r="E310" t="s">
        <v>2407</v>
      </c>
      <c r="F310">
        <v>3</v>
      </c>
      <c r="G310" s="7">
        <v>448.9</v>
      </c>
      <c r="H310" s="3" t="s">
        <v>2566</v>
      </c>
      <c r="I310" s="3" t="s">
        <v>3065</v>
      </c>
      <c r="J310" s="3" t="s">
        <v>3072</v>
      </c>
      <c r="K310" s="3" t="s">
        <v>3383</v>
      </c>
      <c r="L310" s="3">
        <v>7</v>
      </c>
      <c r="M310" s="10" t="s">
        <v>4275</v>
      </c>
      <c r="N310" s="3" t="s">
        <v>4278</v>
      </c>
      <c r="O310" s="7">
        <v>1346.7</v>
      </c>
      <c r="P310" s="3">
        <f t="shared" si="10"/>
        <v>1346.6999999999998</v>
      </c>
    </row>
    <row r="311" spans="1:16" x14ac:dyDescent="0.35">
      <c r="A311" t="s">
        <v>323</v>
      </c>
      <c r="B311" s="5">
        <v>45202</v>
      </c>
      <c r="C311" t="s">
        <v>1523</v>
      </c>
      <c r="D311" s="1" t="str">
        <f t="shared" si="9"/>
        <v>Printer</v>
      </c>
      <c r="E311" t="s">
        <v>2406</v>
      </c>
      <c r="F311">
        <v>4</v>
      </c>
      <c r="G311" s="7">
        <v>549.76</v>
      </c>
      <c r="H311" s="3" t="s">
        <v>2671</v>
      </c>
      <c r="I311" s="3" t="s">
        <v>3065</v>
      </c>
      <c r="J311" s="3" t="s">
        <v>3073</v>
      </c>
      <c r="K311" s="3" t="s">
        <v>3384</v>
      </c>
      <c r="L311" s="3">
        <v>4</v>
      </c>
      <c r="M311" s="10" t="s">
        <v>4276</v>
      </c>
      <c r="N311" s="3" t="s">
        <v>4281</v>
      </c>
      <c r="O311" s="7">
        <v>2199.04</v>
      </c>
      <c r="P311" s="3">
        <f t="shared" si="10"/>
        <v>2199.04</v>
      </c>
    </row>
    <row r="312" spans="1:16" x14ac:dyDescent="0.35">
      <c r="A312" t="s">
        <v>324</v>
      </c>
      <c r="B312" s="5">
        <v>45346</v>
      </c>
      <c r="C312" t="s">
        <v>1524</v>
      </c>
      <c r="D312" s="1" t="str">
        <f t="shared" si="9"/>
        <v>Desk</v>
      </c>
      <c r="E312" t="s">
        <v>2407</v>
      </c>
      <c r="F312">
        <v>3</v>
      </c>
      <c r="G312" s="7">
        <v>132.47999999999999</v>
      </c>
      <c r="H312" s="3" t="s">
        <v>2672</v>
      </c>
      <c r="I312" s="3" t="s">
        <v>3066</v>
      </c>
      <c r="J312" s="3" t="s">
        <v>3070</v>
      </c>
      <c r="K312" s="3" t="s">
        <v>3385</v>
      </c>
      <c r="L312" s="3">
        <v>4</v>
      </c>
      <c r="N312" s="3" t="s">
        <v>4279</v>
      </c>
      <c r="O312" s="7">
        <v>397.43999999999988</v>
      </c>
      <c r="P312" s="3">
        <f t="shared" si="10"/>
        <v>397.43999999999994</v>
      </c>
    </row>
    <row r="313" spans="1:16" x14ac:dyDescent="0.35">
      <c r="A313" t="s">
        <v>325</v>
      </c>
      <c r="B313" s="5">
        <v>45794</v>
      </c>
      <c r="C313" t="s">
        <v>1525</v>
      </c>
      <c r="D313" s="1" t="str">
        <f t="shared" si="9"/>
        <v>Printer</v>
      </c>
      <c r="E313" t="s">
        <v>2409</v>
      </c>
      <c r="F313">
        <v>5</v>
      </c>
      <c r="G313" s="7">
        <v>489.37</v>
      </c>
      <c r="H313" s="3" t="s">
        <v>2673</v>
      </c>
      <c r="I313" s="3" t="s">
        <v>3066</v>
      </c>
      <c r="J313" s="3" t="s">
        <v>3072</v>
      </c>
      <c r="K313" s="3" t="s">
        <v>3386</v>
      </c>
      <c r="L313" s="3">
        <v>8</v>
      </c>
      <c r="N313" s="3" t="s">
        <v>4278</v>
      </c>
      <c r="O313" s="7">
        <v>2446.85</v>
      </c>
      <c r="P313" s="3">
        <f t="shared" si="10"/>
        <v>2446.85</v>
      </c>
    </row>
    <row r="314" spans="1:16" x14ac:dyDescent="0.35">
      <c r="A314" t="s">
        <v>326</v>
      </c>
      <c r="B314" s="5">
        <v>45801</v>
      </c>
      <c r="C314" t="s">
        <v>1526</v>
      </c>
      <c r="D314" s="1" t="str">
        <f t="shared" si="9"/>
        <v>Chair</v>
      </c>
      <c r="E314" t="s">
        <v>2407</v>
      </c>
      <c r="F314">
        <v>5</v>
      </c>
      <c r="G314" s="7">
        <v>66.31</v>
      </c>
      <c r="H314" s="3" t="s">
        <v>2606</v>
      </c>
      <c r="I314" s="3" t="s">
        <v>3068</v>
      </c>
      <c r="J314" s="3" t="s">
        <v>3074</v>
      </c>
      <c r="K314" s="3" t="s">
        <v>3387</v>
      </c>
      <c r="L314" s="3">
        <v>7</v>
      </c>
      <c r="M314" s="10" t="s">
        <v>4276</v>
      </c>
      <c r="N314" s="3" t="s">
        <v>4279</v>
      </c>
      <c r="O314" s="7">
        <v>331.55</v>
      </c>
      <c r="P314" s="3">
        <f t="shared" si="10"/>
        <v>331.55</v>
      </c>
    </row>
    <row r="315" spans="1:16" x14ac:dyDescent="0.35">
      <c r="A315" t="s">
        <v>327</v>
      </c>
      <c r="B315" s="5">
        <v>45116</v>
      </c>
      <c r="C315" t="s">
        <v>1527</v>
      </c>
      <c r="D315" s="1" t="str">
        <f t="shared" si="9"/>
        <v>Desk</v>
      </c>
      <c r="E315" t="s">
        <v>2406</v>
      </c>
      <c r="F315">
        <v>2</v>
      </c>
      <c r="G315" s="7">
        <v>434.3</v>
      </c>
      <c r="H315" s="3" t="s">
        <v>2674</v>
      </c>
      <c r="I315" s="3" t="s">
        <v>3069</v>
      </c>
      <c r="J315" s="3" t="s">
        <v>3073</v>
      </c>
      <c r="K315" s="3" t="s">
        <v>3388</v>
      </c>
      <c r="L315" s="3">
        <v>7</v>
      </c>
      <c r="M315" s="10" t="s">
        <v>4275</v>
      </c>
      <c r="N315" s="3" t="s">
        <v>4278</v>
      </c>
      <c r="O315" s="7">
        <v>868.6</v>
      </c>
      <c r="P315" s="3">
        <f t="shared" si="10"/>
        <v>868.6</v>
      </c>
    </row>
    <row r="316" spans="1:16" x14ac:dyDescent="0.35">
      <c r="A316" t="s">
        <v>328</v>
      </c>
      <c r="B316" s="5">
        <v>45203</v>
      </c>
      <c r="C316" t="s">
        <v>1528</v>
      </c>
      <c r="D316" s="1" t="str">
        <f t="shared" si="9"/>
        <v>Tablet</v>
      </c>
      <c r="E316" t="s">
        <v>2409</v>
      </c>
      <c r="F316">
        <v>4</v>
      </c>
      <c r="G316" s="7">
        <v>153.09</v>
      </c>
      <c r="H316" s="3" t="s">
        <v>2675</v>
      </c>
      <c r="I316" s="3" t="s">
        <v>3066</v>
      </c>
      <c r="J316" s="3" t="s">
        <v>3073</v>
      </c>
      <c r="K316" s="3" t="s">
        <v>3389</v>
      </c>
      <c r="L316" s="3">
        <v>4</v>
      </c>
      <c r="M316" s="10" t="s">
        <v>4276</v>
      </c>
      <c r="N316" s="3" t="s">
        <v>4279</v>
      </c>
      <c r="O316" s="7">
        <v>612.36</v>
      </c>
      <c r="P316" s="3">
        <f t="shared" si="10"/>
        <v>612.36</v>
      </c>
    </row>
    <row r="317" spans="1:16" x14ac:dyDescent="0.35">
      <c r="A317" t="s">
        <v>329</v>
      </c>
      <c r="B317" s="5">
        <v>45789</v>
      </c>
      <c r="C317" t="s">
        <v>1529</v>
      </c>
      <c r="D317" s="1" t="str">
        <f t="shared" si="9"/>
        <v>Desk</v>
      </c>
      <c r="E317" t="s">
        <v>2405</v>
      </c>
      <c r="F317">
        <v>5</v>
      </c>
      <c r="G317" s="7">
        <v>91.67</v>
      </c>
      <c r="H317" s="3" t="s">
        <v>2676</v>
      </c>
      <c r="I317" s="3" t="s">
        <v>3066</v>
      </c>
      <c r="J317" s="3" t="s">
        <v>3071</v>
      </c>
      <c r="K317" s="3" t="s">
        <v>3390</v>
      </c>
      <c r="L317" s="3">
        <v>9</v>
      </c>
      <c r="M317" s="10" t="s">
        <v>4276</v>
      </c>
      <c r="N317" s="3" t="s">
        <v>4280</v>
      </c>
      <c r="O317" s="7">
        <v>458.35</v>
      </c>
      <c r="P317" s="3">
        <f t="shared" si="10"/>
        <v>458.35</v>
      </c>
    </row>
    <row r="318" spans="1:16" x14ac:dyDescent="0.35">
      <c r="A318" t="s">
        <v>330</v>
      </c>
      <c r="B318" s="5">
        <v>45201</v>
      </c>
      <c r="C318" t="s">
        <v>1530</v>
      </c>
      <c r="D318" s="1" t="str">
        <f t="shared" si="9"/>
        <v>Monitor</v>
      </c>
      <c r="E318" t="s">
        <v>2409</v>
      </c>
      <c r="F318">
        <v>4</v>
      </c>
      <c r="G318" s="7">
        <v>275.27999999999997</v>
      </c>
      <c r="H318" s="3" t="s">
        <v>2677</v>
      </c>
      <c r="I318" s="3" t="s">
        <v>3068</v>
      </c>
      <c r="J318" s="3" t="s">
        <v>3070</v>
      </c>
      <c r="K318" s="3" t="s">
        <v>3391</v>
      </c>
      <c r="L318" s="3">
        <v>9</v>
      </c>
      <c r="M318" s="10" t="s">
        <v>4277</v>
      </c>
      <c r="N318" s="3" t="s">
        <v>4281</v>
      </c>
      <c r="O318" s="7">
        <v>1101.1199999999999</v>
      </c>
      <c r="P318" s="3">
        <f t="shared" si="10"/>
        <v>1101.1199999999999</v>
      </c>
    </row>
    <row r="319" spans="1:16" x14ac:dyDescent="0.35">
      <c r="A319" t="s">
        <v>331</v>
      </c>
      <c r="B319" s="5">
        <v>45026</v>
      </c>
      <c r="C319" t="s">
        <v>1531</v>
      </c>
      <c r="D319" s="1" t="str">
        <f t="shared" si="9"/>
        <v>Chair</v>
      </c>
      <c r="E319" t="s">
        <v>2403</v>
      </c>
      <c r="F319">
        <v>2</v>
      </c>
      <c r="G319" s="7">
        <v>139.94999999999999</v>
      </c>
      <c r="H319" s="3" t="s">
        <v>2678</v>
      </c>
      <c r="I319" s="3" t="s">
        <v>3066</v>
      </c>
      <c r="J319" s="3" t="s">
        <v>3072</v>
      </c>
      <c r="K319" s="3" t="s">
        <v>3392</v>
      </c>
      <c r="L319" s="3">
        <v>5</v>
      </c>
      <c r="N319" s="3" t="s">
        <v>4278</v>
      </c>
      <c r="O319" s="7">
        <v>279.89999999999998</v>
      </c>
      <c r="P319" s="3">
        <f t="shared" si="10"/>
        <v>279.89999999999998</v>
      </c>
    </row>
    <row r="320" spans="1:16" x14ac:dyDescent="0.35">
      <c r="A320" t="s">
        <v>332</v>
      </c>
      <c r="B320" s="5">
        <v>45500</v>
      </c>
      <c r="C320" t="s">
        <v>1532</v>
      </c>
      <c r="D320" s="1" t="str">
        <f t="shared" si="9"/>
        <v>Laptop</v>
      </c>
      <c r="E320" t="s">
        <v>2406</v>
      </c>
      <c r="F320">
        <v>3</v>
      </c>
      <c r="G320" s="7">
        <v>148.72</v>
      </c>
      <c r="H320" s="3" t="s">
        <v>2596</v>
      </c>
      <c r="I320" s="3" t="s">
        <v>3065</v>
      </c>
      <c r="J320" s="3" t="s">
        <v>3071</v>
      </c>
      <c r="K320" s="3" t="s">
        <v>3393</v>
      </c>
      <c r="L320" s="3">
        <v>7</v>
      </c>
      <c r="M320" s="10" t="s">
        <v>4275</v>
      </c>
      <c r="N320" s="3" t="s">
        <v>4282</v>
      </c>
      <c r="O320" s="7">
        <v>446.16</v>
      </c>
      <c r="P320" s="3">
        <f t="shared" si="10"/>
        <v>446.15999999999997</v>
      </c>
    </row>
    <row r="321" spans="1:16" x14ac:dyDescent="0.35">
      <c r="A321" t="s">
        <v>333</v>
      </c>
      <c r="B321" s="5">
        <v>45262</v>
      </c>
      <c r="C321" t="s">
        <v>1533</v>
      </c>
      <c r="D321" s="1" t="str">
        <f t="shared" si="9"/>
        <v>Printer</v>
      </c>
      <c r="E321" t="s">
        <v>2408</v>
      </c>
      <c r="F321">
        <v>2</v>
      </c>
      <c r="G321" s="7">
        <v>563.05999999999995</v>
      </c>
      <c r="H321" s="3" t="s">
        <v>2679</v>
      </c>
      <c r="I321" s="3" t="s">
        <v>3069</v>
      </c>
      <c r="J321" s="3" t="s">
        <v>3072</v>
      </c>
      <c r="K321" s="3" t="s">
        <v>3394</v>
      </c>
      <c r="L321" s="3">
        <v>6</v>
      </c>
      <c r="N321" s="3" t="s">
        <v>4278</v>
      </c>
      <c r="O321" s="7">
        <v>1126.1199999999999</v>
      </c>
      <c r="P321" s="3">
        <f t="shared" si="10"/>
        <v>1126.1199999999999</v>
      </c>
    </row>
    <row r="322" spans="1:16" x14ac:dyDescent="0.35">
      <c r="A322" t="s">
        <v>334</v>
      </c>
      <c r="B322" s="5">
        <v>45645</v>
      </c>
      <c r="C322" t="s">
        <v>1534</v>
      </c>
      <c r="D322" s="1" t="str">
        <f t="shared" ref="D322:D385" si="11">PROPER(TRIM(E323))</f>
        <v>Phone</v>
      </c>
      <c r="E322" t="s">
        <v>2407</v>
      </c>
      <c r="F322">
        <v>1</v>
      </c>
      <c r="G322" s="7">
        <v>625.51</v>
      </c>
      <c r="H322" s="3" t="s">
        <v>2680</v>
      </c>
      <c r="I322" s="3" t="s">
        <v>3067</v>
      </c>
      <c r="J322" s="3" t="s">
        <v>3070</v>
      </c>
      <c r="K322" s="3" t="s">
        <v>3395</v>
      </c>
      <c r="L322" s="3">
        <v>1</v>
      </c>
      <c r="M322" s="10" t="s">
        <v>4276</v>
      </c>
      <c r="N322" s="3" t="s">
        <v>4281</v>
      </c>
      <c r="O322" s="7">
        <v>625.51</v>
      </c>
      <c r="P322" s="3">
        <f t="shared" si="10"/>
        <v>625.51</v>
      </c>
    </row>
    <row r="323" spans="1:16" x14ac:dyDescent="0.35">
      <c r="A323" t="s">
        <v>335</v>
      </c>
      <c r="B323" s="5">
        <v>45147</v>
      </c>
      <c r="C323" t="s">
        <v>1535</v>
      </c>
      <c r="D323" s="1" t="str">
        <f t="shared" si="11"/>
        <v>Phone</v>
      </c>
      <c r="E323" t="s">
        <v>2404</v>
      </c>
      <c r="F323">
        <v>4</v>
      </c>
      <c r="G323" s="7">
        <v>152.29</v>
      </c>
      <c r="H323" s="3" t="s">
        <v>2670</v>
      </c>
      <c r="I323" s="3" t="s">
        <v>3065</v>
      </c>
      <c r="J323" s="3" t="s">
        <v>3071</v>
      </c>
      <c r="K323" s="3" t="s">
        <v>3396</v>
      </c>
      <c r="L323" s="3">
        <v>6</v>
      </c>
      <c r="M323" s="10" t="s">
        <v>4277</v>
      </c>
      <c r="N323" s="3" t="s">
        <v>4282</v>
      </c>
      <c r="O323" s="7">
        <v>609.16</v>
      </c>
      <c r="P323" s="3">
        <f t="shared" ref="P323:P386" si="12">G323*F323</f>
        <v>609.16</v>
      </c>
    </row>
    <row r="324" spans="1:16" x14ac:dyDescent="0.35">
      <c r="A324" t="s">
        <v>336</v>
      </c>
      <c r="B324" s="5">
        <v>45457</v>
      </c>
      <c r="C324" t="s">
        <v>1536</v>
      </c>
      <c r="D324" s="1" t="str">
        <f t="shared" si="11"/>
        <v>Laptop</v>
      </c>
      <c r="E324" t="s">
        <v>2404</v>
      </c>
      <c r="F324">
        <v>5</v>
      </c>
      <c r="G324" s="7">
        <v>231.82</v>
      </c>
      <c r="H324" s="3" t="s">
        <v>2678</v>
      </c>
      <c r="I324" s="3" t="s">
        <v>3065</v>
      </c>
      <c r="J324" s="3" t="s">
        <v>3073</v>
      </c>
      <c r="K324" s="3" t="s">
        <v>3397</v>
      </c>
      <c r="L324" s="3">
        <v>6</v>
      </c>
      <c r="M324" s="10" t="s">
        <v>4275</v>
      </c>
      <c r="N324" s="3" t="s">
        <v>4281</v>
      </c>
      <c r="O324" s="7">
        <v>1159.0999999999999</v>
      </c>
      <c r="P324" s="3">
        <f t="shared" si="12"/>
        <v>1159.0999999999999</v>
      </c>
    </row>
    <row r="325" spans="1:16" x14ac:dyDescent="0.35">
      <c r="A325" t="s">
        <v>337</v>
      </c>
      <c r="B325" s="5">
        <v>45683</v>
      </c>
      <c r="C325" t="s">
        <v>1537</v>
      </c>
      <c r="D325" s="1" t="str">
        <f t="shared" si="11"/>
        <v>Tablet</v>
      </c>
      <c r="E325" t="s">
        <v>2408</v>
      </c>
      <c r="F325">
        <v>1</v>
      </c>
      <c r="G325" s="7">
        <v>150.16999999999999</v>
      </c>
      <c r="H325" s="3" t="s">
        <v>2681</v>
      </c>
      <c r="I325" s="3" t="s">
        <v>3065</v>
      </c>
      <c r="J325" s="3" t="s">
        <v>3072</v>
      </c>
      <c r="K325" s="3" t="s">
        <v>3398</v>
      </c>
      <c r="L325" s="3">
        <v>1</v>
      </c>
      <c r="M325" s="10" t="s">
        <v>4275</v>
      </c>
      <c r="N325" s="3" t="s">
        <v>4279</v>
      </c>
      <c r="O325" s="7">
        <v>150.16999999999999</v>
      </c>
      <c r="P325" s="3">
        <f t="shared" si="12"/>
        <v>150.16999999999999</v>
      </c>
    </row>
    <row r="326" spans="1:16" x14ac:dyDescent="0.35">
      <c r="A326" t="s">
        <v>338</v>
      </c>
      <c r="B326" s="5">
        <v>45456</v>
      </c>
      <c r="C326" t="s">
        <v>1538</v>
      </c>
      <c r="D326" s="1" t="str">
        <f t="shared" si="11"/>
        <v>Desk</v>
      </c>
      <c r="E326" t="s">
        <v>2405</v>
      </c>
      <c r="F326">
        <v>3</v>
      </c>
      <c r="G326" s="7">
        <v>70.930000000000007</v>
      </c>
      <c r="H326" s="3" t="s">
        <v>2682</v>
      </c>
      <c r="I326" s="3" t="s">
        <v>3065</v>
      </c>
      <c r="J326" s="3" t="s">
        <v>3072</v>
      </c>
      <c r="K326" s="3" t="s">
        <v>3399</v>
      </c>
      <c r="L326" s="3">
        <v>5</v>
      </c>
      <c r="N326" s="3" t="s">
        <v>4279</v>
      </c>
      <c r="O326" s="7">
        <v>212.79</v>
      </c>
      <c r="P326" s="3">
        <f t="shared" si="12"/>
        <v>212.79000000000002</v>
      </c>
    </row>
    <row r="327" spans="1:16" x14ac:dyDescent="0.35">
      <c r="A327" t="s">
        <v>339</v>
      </c>
      <c r="B327" s="5">
        <v>45106</v>
      </c>
      <c r="C327" t="s">
        <v>1539</v>
      </c>
      <c r="D327" s="1" t="str">
        <f t="shared" si="11"/>
        <v>Laptop</v>
      </c>
      <c r="E327" t="s">
        <v>2409</v>
      </c>
      <c r="F327">
        <v>3</v>
      </c>
      <c r="G327" s="7">
        <v>361.39</v>
      </c>
      <c r="H327" s="3" t="s">
        <v>2683</v>
      </c>
      <c r="I327" s="3" t="s">
        <v>3067</v>
      </c>
      <c r="J327" s="3" t="s">
        <v>3070</v>
      </c>
      <c r="K327" s="3" t="s">
        <v>3400</v>
      </c>
      <c r="L327" s="3">
        <v>8</v>
      </c>
      <c r="N327" s="3" t="s">
        <v>4279</v>
      </c>
      <c r="O327" s="7">
        <v>1084.17</v>
      </c>
      <c r="P327" s="3">
        <f t="shared" si="12"/>
        <v>1084.17</v>
      </c>
    </row>
    <row r="328" spans="1:16" x14ac:dyDescent="0.35">
      <c r="A328" t="s">
        <v>340</v>
      </c>
      <c r="B328" s="5">
        <v>45474</v>
      </c>
      <c r="C328" t="s">
        <v>1540</v>
      </c>
      <c r="D328" s="1" t="str">
        <f t="shared" si="11"/>
        <v>Phone</v>
      </c>
      <c r="E328" t="s">
        <v>2408</v>
      </c>
      <c r="F328">
        <v>5</v>
      </c>
      <c r="G328" s="7">
        <v>670.48</v>
      </c>
      <c r="H328" s="3" t="s">
        <v>2429</v>
      </c>
      <c r="I328" s="3" t="s">
        <v>3068</v>
      </c>
      <c r="J328" s="3" t="s">
        <v>3072</v>
      </c>
      <c r="K328" s="3" t="s">
        <v>3401</v>
      </c>
      <c r="L328" s="3">
        <v>5</v>
      </c>
      <c r="M328" s="10" t="s">
        <v>4275</v>
      </c>
      <c r="N328" s="3" t="s">
        <v>4281</v>
      </c>
      <c r="O328" s="7">
        <v>3352.4</v>
      </c>
      <c r="P328" s="3">
        <f t="shared" si="12"/>
        <v>3352.4</v>
      </c>
    </row>
    <row r="329" spans="1:16" x14ac:dyDescent="0.35">
      <c r="A329" t="s">
        <v>341</v>
      </c>
      <c r="B329" s="5">
        <v>45132</v>
      </c>
      <c r="C329" t="s">
        <v>1541</v>
      </c>
      <c r="D329" s="1" t="str">
        <f t="shared" si="11"/>
        <v>Tablet</v>
      </c>
      <c r="E329" t="s">
        <v>2404</v>
      </c>
      <c r="F329">
        <v>1</v>
      </c>
      <c r="G329" s="7">
        <v>359.99</v>
      </c>
      <c r="H329" s="3" t="s">
        <v>2471</v>
      </c>
      <c r="I329" s="3" t="s">
        <v>3068</v>
      </c>
      <c r="J329" s="3" t="s">
        <v>3071</v>
      </c>
      <c r="K329" s="3" t="s">
        <v>3402</v>
      </c>
      <c r="L329" s="3">
        <v>5</v>
      </c>
      <c r="M329" s="10" t="s">
        <v>4275</v>
      </c>
      <c r="N329" s="3" t="s">
        <v>4280</v>
      </c>
      <c r="O329" s="7">
        <v>359.99</v>
      </c>
      <c r="P329" s="3">
        <f t="shared" si="12"/>
        <v>359.99</v>
      </c>
    </row>
    <row r="330" spans="1:16" x14ac:dyDescent="0.35">
      <c r="A330" t="s">
        <v>342</v>
      </c>
      <c r="B330" s="5">
        <v>44985</v>
      </c>
      <c r="C330" t="s">
        <v>1542</v>
      </c>
      <c r="D330" s="1" t="str">
        <f t="shared" si="11"/>
        <v>Chair</v>
      </c>
      <c r="E330" t="s">
        <v>2405</v>
      </c>
      <c r="F330">
        <v>5</v>
      </c>
      <c r="G330" s="7">
        <v>674.04</v>
      </c>
      <c r="H330" s="3" t="s">
        <v>2684</v>
      </c>
      <c r="I330" s="3" t="s">
        <v>3066</v>
      </c>
      <c r="J330" s="3" t="s">
        <v>3071</v>
      </c>
      <c r="K330" s="3" t="s">
        <v>3403</v>
      </c>
      <c r="L330" s="3">
        <v>7</v>
      </c>
      <c r="M330" s="10" t="s">
        <v>4275</v>
      </c>
      <c r="N330" s="3" t="s">
        <v>4282</v>
      </c>
      <c r="O330" s="7">
        <v>3370.2</v>
      </c>
      <c r="P330" s="3">
        <f t="shared" si="12"/>
        <v>3370.2</v>
      </c>
    </row>
    <row r="331" spans="1:16" x14ac:dyDescent="0.35">
      <c r="A331" t="s">
        <v>343</v>
      </c>
      <c r="B331" s="5">
        <v>45651</v>
      </c>
      <c r="C331" t="s">
        <v>1543</v>
      </c>
      <c r="D331" s="1" t="str">
        <f t="shared" si="11"/>
        <v>Desk</v>
      </c>
      <c r="E331" t="s">
        <v>2406</v>
      </c>
      <c r="F331">
        <v>4</v>
      </c>
      <c r="G331" s="7">
        <v>283.16000000000003</v>
      </c>
      <c r="H331" s="3" t="s">
        <v>2622</v>
      </c>
      <c r="I331" s="3" t="s">
        <v>3067</v>
      </c>
      <c r="J331" s="3" t="s">
        <v>3070</v>
      </c>
      <c r="K331" s="3" t="s">
        <v>3404</v>
      </c>
      <c r="L331" s="3">
        <v>6</v>
      </c>
      <c r="N331" s="3" t="s">
        <v>4282</v>
      </c>
      <c r="O331" s="7">
        <v>1132.6400000000001</v>
      </c>
      <c r="P331" s="3">
        <f t="shared" si="12"/>
        <v>1132.6400000000001</v>
      </c>
    </row>
    <row r="332" spans="1:16" x14ac:dyDescent="0.35">
      <c r="A332" t="s">
        <v>344</v>
      </c>
      <c r="B332" s="5">
        <v>45445</v>
      </c>
      <c r="C332" t="s">
        <v>1544</v>
      </c>
      <c r="D332" s="1" t="str">
        <f t="shared" si="11"/>
        <v>Printer</v>
      </c>
      <c r="E332" t="s">
        <v>2409</v>
      </c>
      <c r="F332">
        <v>5</v>
      </c>
      <c r="G332" s="7">
        <v>260.52999999999997</v>
      </c>
      <c r="H332" s="3" t="s">
        <v>2685</v>
      </c>
      <c r="I332" s="3" t="s">
        <v>3068</v>
      </c>
      <c r="J332" s="3" t="s">
        <v>3074</v>
      </c>
      <c r="K332" s="3" t="s">
        <v>3405</v>
      </c>
      <c r="L332" s="3">
        <v>5</v>
      </c>
      <c r="M332" s="10" t="s">
        <v>4275</v>
      </c>
      <c r="N332" s="3" t="s">
        <v>4278</v>
      </c>
      <c r="O332" s="7">
        <v>1302.6500000000001</v>
      </c>
      <c r="P332" s="3">
        <f t="shared" si="12"/>
        <v>1302.6499999999999</v>
      </c>
    </row>
    <row r="333" spans="1:16" x14ac:dyDescent="0.35">
      <c r="A333" t="s">
        <v>345</v>
      </c>
      <c r="B333" s="5">
        <v>45031</v>
      </c>
      <c r="C333" t="s">
        <v>1545</v>
      </c>
      <c r="D333" s="1" t="str">
        <f t="shared" si="11"/>
        <v>Desk</v>
      </c>
      <c r="E333" t="s">
        <v>2407</v>
      </c>
      <c r="F333">
        <v>3</v>
      </c>
      <c r="G333" s="7">
        <v>422.13</v>
      </c>
      <c r="H333" s="3" t="s">
        <v>2522</v>
      </c>
      <c r="I333" s="3" t="s">
        <v>3066</v>
      </c>
      <c r="J333" s="3" t="s">
        <v>3073</v>
      </c>
      <c r="K333" s="3" t="s">
        <v>3406</v>
      </c>
      <c r="L333" s="3">
        <v>7</v>
      </c>
      <c r="M333" s="10" t="s">
        <v>4275</v>
      </c>
      <c r="N333" s="3" t="s">
        <v>4281</v>
      </c>
      <c r="O333" s="7">
        <v>1266.3900000000001</v>
      </c>
      <c r="P333" s="3">
        <f t="shared" si="12"/>
        <v>1266.3899999999999</v>
      </c>
    </row>
    <row r="334" spans="1:16" x14ac:dyDescent="0.35">
      <c r="A334" t="s">
        <v>346</v>
      </c>
      <c r="B334" s="5">
        <v>45476</v>
      </c>
      <c r="C334" t="s">
        <v>1546</v>
      </c>
      <c r="D334" s="1" t="str">
        <f t="shared" si="11"/>
        <v>Phone</v>
      </c>
      <c r="E334" t="s">
        <v>2409</v>
      </c>
      <c r="F334">
        <v>5</v>
      </c>
      <c r="G334" s="7">
        <v>125.02</v>
      </c>
      <c r="H334" s="3" t="s">
        <v>2686</v>
      </c>
      <c r="I334" s="3" t="s">
        <v>3065</v>
      </c>
      <c r="J334" s="3" t="s">
        <v>3074</v>
      </c>
      <c r="K334" s="3" t="s">
        <v>3407</v>
      </c>
      <c r="L334" s="3">
        <v>9</v>
      </c>
      <c r="M334" s="10" t="s">
        <v>4275</v>
      </c>
      <c r="N334" s="3" t="s">
        <v>4282</v>
      </c>
      <c r="O334" s="7">
        <v>625.1</v>
      </c>
      <c r="P334" s="3">
        <f t="shared" si="12"/>
        <v>625.1</v>
      </c>
    </row>
    <row r="335" spans="1:16" x14ac:dyDescent="0.35">
      <c r="A335" t="s">
        <v>347</v>
      </c>
      <c r="B335" s="5">
        <v>45398</v>
      </c>
      <c r="C335" t="s">
        <v>1547</v>
      </c>
      <c r="D335" s="1" t="str">
        <f t="shared" si="11"/>
        <v>Chair</v>
      </c>
      <c r="E335" t="s">
        <v>2404</v>
      </c>
      <c r="F335">
        <v>1</v>
      </c>
      <c r="G335" s="7">
        <v>198.51</v>
      </c>
      <c r="H335" s="3" t="s">
        <v>2687</v>
      </c>
      <c r="I335" s="3" t="s">
        <v>3067</v>
      </c>
      <c r="J335" s="3" t="s">
        <v>3072</v>
      </c>
      <c r="K335" s="3" t="s">
        <v>3408</v>
      </c>
      <c r="L335" s="3">
        <v>5</v>
      </c>
      <c r="M335" s="10" t="s">
        <v>4277</v>
      </c>
      <c r="N335" s="3" t="s">
        <v>4278</v>
      </c>
      <c r="O335" s="7">
        <v>198.51</v>
      </c>
      <c r="P335" s="3">
        <f t="shared" si="12"/>
        <v>198.51</v>
      </c>
    </row>
    <row r="336" spans="1:16" x14ac:dyDescent="0.35">
      <c r="A336" t="s">
        <v>348</v>
      </c>
      <c r="B336" s="5">
        <v>45377</v>
      </c>
      <c r="C336" t="s">
        <v>1548</v>
      </c>
      <c r="D336" s="1" t="str">
        <f t="shared" si="11"/>
        <v>Tablet</v>
      </c>
      <c r="E336" t="s">
        <v>2406</v>
      </c>
      <c r="F336">
        <v>4</v>
      </c>
      <c r="G336" s="7">
        <v>224.75</v>
      </c>
      <c r="H336" s="3" t="s">
        <v>2688</v>
      </c>
      <c r="I336" s="3" t="s">
        <v>3066</v>
      </c>
      <c r="J336" s="3" t="s">
        <v>3073</v>
      </c>
      <c r="K336" s="3" t="s">
        <v>3409</v>
      </c>
      <c r="L336" s="3">
        <v>7</v>
      </c>
      <c r="M336" s="10" t="s">
        <v>4277</v>
      </c>
      <c r="N336" s="3" t="s">
        <v>4281</v>
      </c>
      <c r="O336" s="7">
        <v>899</v>
      </c>
      <c r="P336" s="3">
        <f t="shared" si="12"/>
        <v>899</v>
      </c>
    </row>
    <row r="337" spans="1:16" x14ac:dyDescent="0.35">
      <c r="A337" t="s">
        <v>349</v>
      </c>
      <c r="B337" s="5">
        <v>45719</v>
      </c>
      <c r="C337" t="s">
        <v>1549</v>
      </c>
      <c r="D337" s="1" t="str">
        <f t="shared" si="11"/>
        <v>Laptop</v>
      </c>
      <c r="E337" t="s">
        <v>2405</v>
      </c>
      <c r="F337">
        <v>3</v>
      </c>
      <c r="G337" s="7">
        <v>205.86</v>
      </c>
      <c r="H337" s="3" t="s">
        <v>2674</v>
      </c>
      <c r="I337" s="3" t="s">
        <v>3068</v>
      </c>
      <c r="J337" s="3" t="s">
        <v>3070</v>
      </c>
      <c r="K337" s="3" t="s">
        <v>3410</v>
      </c>
      <c r="L337" s="3">
        <v>4</v>
      </c>
      <c r="N337" s="3" t="s">
        <v>4280</v>
      </c>
      <c r="O337" s="7">
        <v>617.58000000000004</v>
      </c>
      <c r="P337" s="3">
        <f t="shared" si="12"/>
        <v>617.58000000000004</v>
      </c>
    </row>
    <row r="338" spans="1:16" x14ac:dyDescent="0.35">
      <c r="A338" t="s">
        <v>350</v>
      </c>
      <c r="B338" s="5">
        <v>45289</v>
      </c>
      <c r="C338" t="s">
        <v>1550</v>
      </c>
      <c r="D338" s="1" t="str">
        <f t="shared" si="11"/>
        <v>Tablet</v>
      </c>
      <c r="E338" t="s">
        <v>2408</v>
      </c>
      <c r="F338">
        <v>1</v>
      </c>
      <c r="G338" s="7">
        <v>18.2</v>
      </c>
      <c r="H338" s="3" t="s">
        <v>2689</v>
      </c>
      <c r="I338" s="3" t="s">
        <v>3065</v>
      </c>
      <c r="J338" s="3" t="s">
        <v>3074</v>
      </c>
      <c r="K338" s="3" t="s">
        <v>3411</v>
      </c>
      <c r="L338" s="3">
        <v>4</v>
      </c>
      <c r="M338" s="10" t="s">
        <v>4275</v>
      </c>
      <c r="N338" s="3" t="s">
        <v>4278</v>
      </c>
      <c r="O338" s="7">
        <v>18.2</v>
      </c>
      <c r="P338" s="3">
        <f t="shared" si="12"/>
        <v>18.2</v>
      </c>
    </row>
    <row r="339" spans="1:16" x14ac:dyDescent="0.35">
      <c r="A339" t="s">
        <v>351</v>
      </c>
      <c r="B339" s="5">
        <v>45075</v>
      </c>
      <c r="C339" t="s">
        <v>1551</v>
      </c>
      <c r="D339" s="1" t="str">
        <f t="shared" si="11"/>
        <v>Phone</v>
      </c>
      <c r="E339" t="s">
        <v>2405</v>
      </c>
      <c r="F339">
        <v>3</v>
      </c>
      <c r="G339" s="7">
        <v>502.77</v>
      </c>
      <c r="H339" s="3" t="s">
        <v>2690</v>
      </c>
      <c r="I339" s="3" t="s">
        <v>3065</v>
      </c>
      <c r="J339" s="3" t="s">
        <v>3072</v>
      </c>
      <c r="K339" s="3" t="s">
        <v>3412</v>
      </c>
      <c r="L339" s="3">
        <v>8</v>
      </c>
      <c r="M339" s="10" t="s">
        <v>4277</v>
      </c>
      <c r="N339" s="3" t="s">
        <v>4280</v>
      </c>
      <c r="O339" s="7">
        <v>1508.31</v>
      </c>
      <c r="P339" s="3">
        <f t="shared" si="12"/>
        <v>1508.31</v>
      </c>
    </row>
    <row r="340" spans="1:16" x14ac:dyDescent="0.35">
      <c r="A340" t="s">
        <v>352</v>
      </c>
      <c r="B340" s="5">
        <v>45238</v>
      </c>
      <c r="C340" t="s">
        <v>1552</v>
      </c>
      <c r="D340" s="1" t="str">
        <f t="shared" si="11"/>
        <v>Printer</v>
      </c>
      <c r="E340" t="s">
        <v>2404</v>
      </c>
      <c r="F340">
        <v>5</v>
      </c>
      <c r="G340" s="7">
        <v>305.49</v>
      </c>
      <c r="H340" s="3" t="s">
        <v>2691</v>
      </c>
      <c r="I340" s="3" t="s">
        <v>3065</v>
      </c>
      <c r="J340" s="3" t="s">
        <v>3070</v>
      </c>
      <c r="K340" s="3" t="s">
        <v>3413</v>
      </c>
      <c r="L340" s="3">
        <v>10</v>
      </c>
      <c r="N340" s="3" t="s">
        <v>4279</v>
      </c>
      <c r="O340" s="7">
        <v>1527.45</v>
      </c>
      <c r="P340" s="3">
        <f t="shared" si="12"/>
        <v>1527.45</v>
      </c>
    </row>
    <row r="341" spans="1:16" x14ac:dyDescent="0.35">
      <c r="A341" t="s">
        <v>353</v>
      </c>
      <c r="B341" s="5">
        <v>45392</v>
      </c>
      <c r="C341" t="s">
        <v>1553</v>
      </c>
      <c r="D341" s="1" t="str">
        <f t="shared" si="11"/>
        <v>Laptop</v>
      </c>
      <c r="E341" t="s">
        <v>2407</v>
      </c>
      <c r="F341">
        <v>2</v>
      </c>
      <c r="G341" s="7">
        <v>236.33</v>
      </c>
      <c r="H341" s="3" t="s">
        <v>2692</v>
      </c>
      <c r="I341" s="3" t="s">
        <v>3066</v>
      </c>
      <c r="J341" s="3" t="s">
        <v>3074</v>
      </c>
      <c r="K341" s="3" t="s">
        <v>3414</v>
      </c>
      <c r="L341" s="3">
        <v>3</v>
      </c>
      <c r="M341" s="10" t="s">
        <v>4275</v>
      </c>
      <c r="N341" s="3" t="s">
        <v>4278</v>
      </c>
      <c r="O341" s="7">
        <v>472.66</v>
      </c>
      <c r="P341" s="3">
        <f t="shared" si="12"/>
        <v>472.66</v>
      </c>
    </row>
    <row r="342" spans="1:16" x14ac:dyDescent="0.35">
      <c r="A342" t="s">
        <v>354</v>
      </c>
      <c r="B342" s="5">
        <v>45039</v>
      </c>
      <c r="C342" t="s">
        <v>1554</v>
      </c>
      <c r="D342" s="1" t="str">
        <f t="shared" si="11"/>
        <v>Tablet</v>
      </c>
      <c r="E342" t="s">
        <v>2408</v>
      </c>
      <c r="F342">
        <v>5</v>
      </c>
      <c r="G342" s="7">
        <v>521.25</v>
      </c>
      <c r="H342" s="3" t="s">
        <v>2693</v>
      </c>
      <c r="I342" s="3" t="s">
        <v>3069</v>
      </c>
      <c r="J342" s="3" t="s">
        <v>3071</v>
      </c>
      <c r="K342" s="3" t="s">
        <v>3415</v>
      </c>
      <c r="L342" s="3">
        <v>8</v>
      </c>
      <c r="N342" s="3" t="s">
        <v>4280</v>
      </c>
      <c r="O342" s="7">
        <v>2606.25</v>
      </c>
      <c r="P342" s="3">
        <f t="shared" si="12"/>
        <v>2606.25</v>
      </c>
    </row>
    <row r="343" spans="1:16" x14ac:dyDescent="0.35">
      <c r="A343" t="s">
        <v>355</v>
      </c>
      <c r="B343" s="5">
        <v>45558</v>
      </c>
      <c r="C343" t="s">
        <v>1555</v>
      </c>
      <c r="D343" s="1" t="str">
        <f t="shared" si="11"/>
        <v>Monitor</v>
      </c>
      <c r="E343" t="s">
        <v>2405</v>
      </c>
      <c r="F343">
        <v>1</v>
      </c>
      <c r="G343" s="7">
        <v>167.15</v>
      </c>
      <c r="H343" s="3" t="s">
        <v>2694</v>
      </c>
      <c r="I343" s="3" t="s">
        <v>3068</v>
      </c>
      <c r="J343" s="3" t="s">
        <v>3070</v>
      </c>
      <c r="K343" s="3" t="s">
        <v>3416</v>
      </c>
      <c r="L343" s="3">
        <v>5</v>
      </c>
      <c r="M343" s="10" t="s">
        <v>4277</v>
      </c>
      <c r="N343" s="3" t="s">
        <v>4280</v>
      </c>
      <c r="O343" s="7">
        <v>167.15</v>
      </c>
      <c r="P343" s="3">
        <f t="shared" si="12"/>
        <v>167.15</v>
      </c>
    </row>
    <row r="344" spans="1:16" x14ac:dyDescent="0.35">
      <c r="A344" t="s">
        <v>356</v>
      </c>
      <c r="B344" s="5">
        <v>45832</v>
      </c>
      <c r="C344" t="s">
        <v>1556</v>
      </c>
      <c r="D344" s="1" t="str">
        <f t="shared" si="11"/>
        <v>Printer</v>
      </c>
      <c r="E344" t="s">
        <v>2403</v>
      </c>
      <c r="F344">
        <v>5</v>
      </c>
      <c r="G344" s="7">
        <v>466.42</v>
      </c>
      <c r="H344" s="3" t="s">
        <v>2695</v>
      </c>
      <c r="I344" s="3" t="s">
        <v>3068</v>
      </c>
      <c r="J344" s="3" t="s">
        <v>3072</v>
      </c>
      <c r="K344" s="3" t="s">
        <v>3417</v>
      </c>
      <c r="L344" s="3">
        <v>5</v>
      </c>
      <c r="N344" s="3" t="s">
        <v>4279</v>
      </c>
      <c r="O344" s="7">
        <v>2332.1</v>
      </c>
      <c r="P344" s="3">
        <f t="shared" si="12"/>
        <v>2332.1</v>
      </c>
    </row>
    <row r="345" spans="1:16" x14ac:dyDescent="0.35">
      <c r="A345" t="s">
        <v>357</v>
      </c>
      <c r="B345" s="5">
        <v>44983</v>
      </c>
      <c r="C345" t="s">
        <v>1557</v>
      </c>
      <c r="D345" s="1" t="str">
        <f t="shared" si="11"/>
        <v>Tablet</v>
      </c>
      <c r="E345" t="s">
        <v>2407</v>
      </c>
      <c r="F345">
        <v>1</v>
      </c>
      <c r="G345" s="7">
        <v>527.57000000000005</v>
      </c>
      <c r="H345" s="3" t="s">
        <v>2696</v>
      </c>
      <c r="I345" s="3" t="s">
        <v>3065</v>
      </c>
      <c r="J345" s="3" t="s">
        <v>3074</v>
      </c>
      <c r="K345" s="3" t="s">
        <v>3418</v>
      </c>
      <c r="L345" s="3">
        <v>3</v>
      </c>
      <c r="M345" s="10" t="s">
        <v>4276</v>
      </c>
      <c r="N345" s="3" t="s">
        <v>4281</v>
      </c>
      <c r="O345" s="7">
        <v>527.57000000000005</v>
      </c>
      <c r="P345" s="3">
        <f t="shared" si="12"/>
        <v>527.57000000000005</v>
      </c>
    </row>
    <row r="346" spans="1:16" x14ac:dyDescent="0.35">
      <c r="A346" t="s">
        <v>358</v>
      </c>
      <c r="B346" s="5">
        <v>45722</v>
      </c>
      <c r="C346" t="s">
        <v>1558</v>
      </c>
      <c r="D346" s="1" t="str">
        <f t="shared" si="11"/>
        <v>Tablet</v>
      </c>
      <c r="E346" t="s">
        <v>2405</v>
      </c>
      <c r="F346">
        <v>3</v>
      </c>
      <c r="G346" s="7">
        <v>623.34</v>
      </c>
      <c r="H346" s="3" t="s">
        <v>2697</v>
      </c>
      <c r="I346" s="3" t="s">
        <v>3066</v>
      </c>
      <c r="J346" s="3" t="s">
        <v>3071</v>
      </c>
      <c r="K346" s="3" t="s">
        <v>3419</v>
      </c>
      <c r="L346" s="3">
        <v>3</v>
      </c>
      <c r="M346" s="10" t="s">
        <v>4275</v>
      </c>
      <c r="N346" s="3" t="s">
        <v>4278</v>
      </c>
      <c r="O346" s="7">
        <v>1870.02</v>
      </c>
      <c r="P346" s="3">
        <f t="shared" si="12"/>
        <v>1870.02</v>
      </c>
    </row>
    <row r="347" spans="1:16" x14ac:dyDescent="0.35">
      <c r="A347" t="s">
        <v>359</v>
      </c>
      <c r="B347" s="5">
        <v>45267</v>
      </c>
      <c r="C347" t="s">
        <v>1559</v>
      </c>
      <c r="D347" s="1" t="str">
        <f t="shared" si="11"/>
        <v>Tablet</v>
      </c>
      <c r="E347" t="s">
        <v>2405</v>
      </c>
      <c r="F347">
        <v>5</v>
      </c>
      <c r="G347" s="7">
        <v>501.26</v>
      </c>
      <c r="H347" s="3" t="s">
        <v>2698</v>
      </c>
      <c r="I347" s="3" t="s">
        <v>3068</v>
      </c>
      <c r="J347" s="3" t="s">
        <v>3070</v>
      </c>
      <c r="K347" s="3" t="s">
        <v>3420</v>
      </c>
      <c r="L347" s="3">
        <v>10</v>
      </c>
      <c r="M347" s="10" t="s">
        <v>4276</v>
      </c>
      <c r="N347" s="3" t="s">
        <v>4279</v>
      </c>
      <c r="O347" s="7">
        <v>2506.3000000000002</v>
      </c>
      <c r="P347" s="3">
        <f t="shared" si="12"/>
        <v>2506.3000000000002</v>
      </c>
    </row>
    <row r="348" spans="1:16" x14ac:dyDescent="0.35">
      <c r="A348" t="s">
        <v>360</v>
      </c>
      <c r="B348" s="5">
        <v>45632</v>
      </c>
      <c r="C348" t="s">
        <v>1560</v>
      </c>
      <c r="D348" s="1" t="str">
        <f t="shared" si="11"/>
        <v>Printer</v>
      </c>
      <c r="E348" t="s">
        <v>2405</v>
      </c>
      <c r="F348">
        <v>1</v>
      </c>
      <c r="G348" s="7">
        <v>655.09</v>
      </c>
      <c r="H348" s="3" t="s">
        <v>2699</v>
      </c>
      <c r="I348" s="3" t="s">
        <v>3069</v>
      </c>
      <c r="J348" s="3" t="s">
        <v>3074</v>
      </c>
      <c r="K348" s="3" t="s">
        <v>3421</v>
      </c>
      <c r="L348" s="3">
        <v>6</v>
      </c>
      <c r="N348" s="3" t="s">
        <v>4279</v>
      </c>
      <c r="O348" s="7">
        <v>655.09</v>
      </c>
      <c r="P348" s="3">
        <f t="shared" si="12"/>
        <v>655.09</v>
      </c>
    </row>
    <row r="349" spans="1:16" x14ac:dyDescent="0.35">
      <c r="A349" t="s">
        <v>361</v>
      </c>
      <c r="B349" s="5">
        <v>45325</v>
      </c>
      <c r="C349" t="s">
        <v>1561</v>
      </c>
      <c r="D349" s="1" t="str">
        <f t="shared" si="11"/>
        <v>Laptop</v>
      </c>
      <c r="E349" t="s">
        <v>2407</v>
      </c>
      <c r="F349">
        <v>4</v>
      </c>
      <c r="G349" s="7">
        <v>264.79000000000002</v>
      </c>
      <c r="H349" s="3" t="s">
        <v>2700</v>
      </c>
      <c r="I349" s="3" t="s">
        <v>3067</v>
      </c>
      <c r="J349" s="3" t="s">
        <v>3074</v>
      </c>
      <c r="K349" s="3" t="s">
        <v>3422</v>
      </c>
      <c r="L349" s="3">
        <v>5</v>
      </c>
      <c r="M349" s="10" t="s">
        <v>4275</v>
      </c>
      <c r="N349" s="3" t="s">
        <v>4282</v>
      </c>
      <c r="O349" s="7">
        <v>1059.1600000000001</v>
      </c>
      <c r="P349" s="3">
        <f t="shared" si="12"/>
        <v>1059.1600000000001</v>
      </c>
    </row>
    <row r="350" spans="1:16" x14ac:dyDescent="0.35">
      <c r="A350" t="s">
        <v>362</v>
      </c>
      <c r="B350" s="5">
        <v>45364</v>
      </c>
      <c r="C350" t="s">
        <v>1562</v>
      </c>
      <c r="D350" s="1" t="str">
        <f t="shared" si="11"/>
        <v>Chair</v>
      </c>
      <c r="E350" t="s">
        <v>2408</v>
      </c>
      <c r="F350">
        <v>3</v>
      </c>
      <c r="G350" s="7">
        <v>359.73</v>
      </c>
      <c r="H350" s="3" t="s">
        <v>2701</v>
      </c>
      <c r="I350" s="3" t="s">
        <v>3065</v>
      </c>
      <c r="J350" s="3" t="s">
        <v>3072</v>
      </c>
      <c r="K350" s="3" t="s">
        <v>3423</v>
      </c>
      <c r="L350" s="3">
        <v>7</v>
      </c>
      <c r="M350" s="10" t="s">
        <v>4276</v>
      </c>
      <c r="N350" s="3" t="s">
        <v>4280</v>
      </c>
      <c r="O350" s="7">
        <v>1079.19</v>
      </c>
      <c r="P350" s="3">
        <f t="shared" si="12"/>
        <v>1079.19</v>
      </c>
    </row>
    <row r="351" spans="1:16" x14ac:dyDescent="0.35">
      <c r="A351" t="s">
        <v>363</v>
      </c>
      <c r="B351" s="5">
        <v>45260</v>
      </c>
      <c r="C351" t="s">
        <v>1563</v>
      </c>
      <c r="D351" s="1" t="str">
        <f t="shared" si="11"/>
        <v>Chair</v>
      </c>
      <c r="E351" t="s">
        <v>2406</v>
      </c>
      <c r="F351">
        <v>1</v>
      </c>
      <c r="G351" s="7">
        <v>465.33</v>
      </c>
      <c r="H351" s="3" t="s">
        <v>2702</v>
      </c>
      <c r="I351" s="3" t="s">
        <v>3068</v>
      </c>
      <c r="J351" s="3" t="s">
        <v>3073</v>
      </c>
      <c r="K351" s="3" t="s">
        <v>3424</v>
      </c>
      <c r="L351" s="3">
        <v>2</v>
      </c>
      <c r="M351" s="10" t="s">
        <v>4276</v>
      </c>
      <c r="N351" s="3" t="s">
        <v>4282</v>
      </c>
      <c r="O351" s="7">
        <v>465.33</v>
      </c>
      <c r="P351" s="3">
        <f t="shared" si="12"/>
        <v>465.33</v>
      </c>
    </row>
    <row r="352" spans="1:16" x14ac:dyDescent="0.35">
      <c r="A352" t="s">
        <v>364</v>
      </c>
      <c r="B352" s="5">
        <v>45080</v>
      </c>
      <c r="C352" t="s">
        <v>1564</v>
      </c>
      <c r="D352" s="1" t="str">
        <f t="shared" si="11"/>
        <v>Laptop</v>
      </c>
      <c r="E352" t="s">
        <v>2406</v>
      </c>
      <c r="F352">
        <v>2</v>
      </c>
      <c r="G352" s="7">
        <v>54.41</v>
      </c>
      <c r="H352" s="3" t="s">
        <v>2703</v>
      </c>
      <c r="I352" s="3" t="s">
        <v>3066</v>
      </c>
      <c r="J352" s="3" t="s">
        <v>3070</v>
      </c>
      <c r="K352" s="3" t="s">
        <v>3425</v>
      </c>
      <c r="L352" s="3">
        <v>6</v>
      </c>
      <c r="N352" s="3" t="s">
        <v>4278</v>
      </c>
      <c r="O352" s="7">
        <v>108.82</v>
      </c>
      <c r="P352" s="3">
        <f t="shared" si="12"/>
        <v>108.82</v>
      </c>
    </row>
    <row r="353" spans="1:16" x14ac:dyDescent="0.35">
      <c r="A353" t="s">
        <v>365</v>
      </c>
      <c r="B353" s="5">
        <v>45703</v>
      </c>
      <c r="C353" t="s">
        <v>1565</v>
      </c>
      <c r="D353" s="1" t="str">
        <f t="shared" si="11"/>
        <v>Chair</v>
      </c>
      <c r="E353" t="s">
        <v>2408</v>
      </c>
      <c r="F353">
        <v>1</v>
      </c>
      <c r="G353" s="7">
        <v>64.66</v>
      </c>
      <c r="H353" s="3" t="s">
        <v>2704</v>
      </c>
      <c r="I353" s="3" t="s">
        <v>3065</v>
      </c>
      <c r="J353" s="3" t="s">
        <v>3073</v>
      </c>
      <c r="K353" s="3" t="s">
        <v>3426</v>
      </c>
      <c r="L353" s="3">
        <v>4</v>
      </c>
      <c r="N353" s="3" t="s">
        <v>4278</v>
      </c>
      <c r="O353" s="7">
        <v>64.66</v>
      </c>
      <c r="P353" s="3">
        <f t="shared" si="12"/>
        <v>64.66</v>
      </c>
    </row>
    <row r="354" spans="1:16" x14ac:dyDescent="0.35">
      <c r="A354" t="s">
        <v>366</v>
      </c>
      <c r="B354" s="5">
        <v>45169</v>
      </c>
      <c r="C354" t="s">
        <v>1566</v>
      </c>
      <c r="D354" s="1" t="str">
        <f t="shared" si="11"/>
        <v>Tablet</v>
      </c>
      <c r="E354" t="s">
        <v>2406</v>
      </c>
      <c r="F354">
        <v>5</v>
      </c>
      <c r="G354" s="7">
        <v>173.96</v>
      </c>
      <c r="H354" s="3" t="s">
        <v>2705</v>
      </c>
      <c r="I354" s="3" t="s">
        <v>3065</v>
      </c>
      <c r="J354" s="3" t="s">
        <v>3074</v>
      </c>
      <c r="K354" s="3" t="s">
        <v>3427</v>
      </c>
      <c r="L354" s="3">
        <v>8</v>
      </c>
      <c r="M354" s="10" t="s">
        <v>4277</v>
      </c>
      <c r="N354" s="3" t="s">
        <v>4278</v>
      </c>
      <c r="O354" s="7">
        <v>869.80000000000007</v>
      </c>
      <c r="P354" s="3">
        <f t="shared" si="12"/>
        <v>869.80000000000007</v>
      </c>
    </row>
    <row r="355" spans="1:16" x14ac:dyDescent="0.35">
      <c r="A355" t="s">
        <v>367</v>
      </c>
      <c r="B355" s="5">
        <v>45744</v>
      </c>
      <c r="C355" t="s">
        <v>1567</v>
      </c>
      <c r="D355" s="1" t="str">
        <f t="shared" si="11"/>
        <v>Phone</v>
      </c>
      <c r="E355" t="s">
        <v>2405</v>
      </c>
      <c r="F355">
        <v>1</v>
      </c>
      <c r="G355" s="7">
        <v>630.82000000000005</v>
      </c>
      <c r="H355" s="3" t="s">
        <v>2706</v>
      </c>
      <c r="I355" s="3" t="s">
        <v>3066</v>
      </c>
      <c r="J355" s="3" t="s">
        <v>3073</v>
      </c>
      <c r="K355" s="3" t="s">
        <v>3428</v>
      </c>
      <c r="L355" s="3">
        <v>5</v>
      </c>
      <c r="M355" s="10" t="s">
        <v>4276</v>
      </c>
      <c r="N355" s="3" t="s">
        <v>4282</v>
      </c>
      <c r="O355" s="7">
        <v>630.82000000000005</v>
      </c>
      <c r="P355" s="3">
        <f t="shared" si="12"/>
        <v>630.82000000000005</v>
      </c>
    </row>
    <row r="356" spans="1:16" x14ac:dyDescent="0.35">
      <c r="A356" t="s">
        <v>368</v>
      </c>
      <c r="B356" s="5">
        <v>45118</v>
      </c>
      <c r="C356" t="s">
        <v>1568</v>
      </c>
      <c r="D356" s="1" t="str">
        <f t="shared" si="11"/>
        <v>Tablet</v>
      </c>
      <c r="E356" t="s">
        <v>2404</v>
      </c>
      <c r="F356">
        <v>1</v>
      </c>
      <c r="G356" s="7">
        <v>693.41</v>
      </c>
      <c r="H356" s="3" t="s">
        <v>2707</v>
      </c>
      <c r="I356" s="3" t="s">
        <v>3065</v>
      </c>
      <c r="J356" s="3" t="s">
        <v>3070</v>
      </c>
      <c r="K356" s="3" t="s">
        <v>3429</v>
      </c>
      <c r="L356" s="3">
        <v>4</v>
      </c>
      <c r="N356" s="3" t="s">
        <v>4278</v>
      </c>
      <c r="O356" s="7">
        <v>693.41</v>
      </c>
      <c r="P356" s="3">
        <f t="shared" si="12"/>
        <v>693.41</v>
      </c>
    </row>
    <row r="357" spans="1:16" x14ac:dyDescent="0.35">
      <c r="A357" t="s">
        <v>369</v>
      </c>
      <c r="B357" s="5">
        <v>45811</v>
      </c>
      <c r="C357" t="s">
        <v>1569</v>
      </c>
      <c r="D357" s="1" t="str">
        <f t="shared" si="11"/>
        <v>Printer</v>
      </c>
      <c r="E357" t="s">
        <v>2405</v>
      </c>
      <c r="F357">
        <v>3</v>
      </c>
      <c r="G357" s="7">
        <v>433.33</v>
      </c>
      <c r="H357" s="3" t="s">
        <v>2708</v>
      </c>
      <c r="I357" s="3" t="s">
        <v>3067</v>
      </c>
      <c r="J357" s="3" t="s">
        <v>3071</v>
      </c>
      <c r="K357" s="3" t="s">
        <v>3430</v>
      </c>
      <c r="L357" s="3">
        <v>4</v>
      </c>
      <c r="M357" s="10" t="s">
        <v>4276</v>
      </c>
      <c r="N357" s="3" t="s">
        <v>4279</v>
      </c>
      <c r="O357" s="7">
        <v>1299.99</v>
      </c>
      <c r="P357" s="3">
        <f t="shared" si="12"/>
        <v>1299.99</v>
      </c>
    </row>
    <row r="358" spans="1:16" x14ac:dyDescent="0.35">
      <c r="A358" t="s">
        <v>370</v>
      </c>
      <c r="B358" s="5">
        <v>45052</v>
      </c>
      <c r="C358" t="s">
        <v>1570</v>
      </c>
      <c r="D358" s="1" t="str">
        <f t="shared" si="11"/>
        <v>Laptop</v>
      </c>
      <c r="E358" t="s">
        <v>2407</v>
      </c>
      <c r="F358">
        <v>5</v>
      </c>
      <c r="G358" s="7">
        <v>374.58</v>
      </c>
      <c r="H358" s="3" t="s">
        <v>2709</v>
      </c>
      <c r="I358" s="3" t="s">
        <v>3068</v>
      </c>
      <c r="J358" s="3" t="s">
        <v>3071</v>
      </c>
      <c r="K358" s="3" t="s">
        <v>3431</v>
      </c>
      <c r="L358" s="3">
        <v>10</v>
      </c>
      <c r="M358" s="10" t="s">
        <v>4276</v>
      </c>
      <c r="N358" s="3" t="s">
        <v>4278</v>
      </c>
      <c r="O358" s="7">
        <v>1872.9</v>
      </c>
      <c r="P358" s="3">
        <f t="shared" si="12"/>
        <v>1872.8999999999999</v>
      </c>
    </row>
    <row r="359" spans="1:16" x14ac:dyDescent="0.35">
      <c r="A359" t="s">
        <v>371</v>
      </c>
      <c r="B359" s="5">
        <v>45115</v>
      </c>
      <c r="C359" t="s">
        <v>1571</v>
      </c>
      <c r="D359" s="1" t="str">
        <f t="shared" si="11"/>
        <v>Tablet</v>
      </c>
      <c r="E359" t="s">
        <v>2408</v>
      </c>
      <c r="F359">
        <v>5</v>
      </c>
      <c r="G359" s="7">
        <v>408.56</v>
      </c>
      <c r="H359" s="3" t="s">
        <v>2692</v>
      </c>
      <c r="I359" s="3" t="s">
        <v>3065</v>
      </c>
      <c r="J359" s="3" t="s">
        <v>3073</v>
      </c>
      <c r="K359" s="3" t="s">
        <v>3432</v>
      </c>
      <c r="L359" s="3">
        <v>8</v>
      </c>
      <c r="M359" s="10" t="s">
        <v>4276</v>
      </c>
      <c r="N359" s="3" t="s">
        <v>4278</v>
      </c>
      <c r="O359" s="7">
        <v>2042.8</v>
      </c>
      <c r="P359" s="3">
        <f t="shared" si="12"/>
        <v>2042.8</v>
      </c>
    </row>
    <row r="360" spans="1:16" x14ac:dyDescent="0.35">
      <c r="A360" t="s">
        <v>372</v>
      </c>
      <c r="B360" s="5">
        <v>45389</v>
      </c>
      <c r="C360" t="s">
        <v>1572</v>
      </c>
      <c r="D360" s="1" t="str">
        <f t="shared" si="11"/>
        <v>Desk</v>
      </c>
      <c r="E360" t="s">
        <v>2405</v>
      </c>
      <c r="F360">
        <v>2</v>
      </c>
      <c r="G360" s="7">
        <v>183.67</v>
      </c>
      <c r="H360" s="3" t="s">
        <v>2710</v>
      </c>
      <c r="I360" s="3" t="s">
        <v>3066</v>
      </c>
      <c r="J360" s="3" t="s">
        <v>3071</v>
      </c>
      <c r="K360" s="3" t="s">
        <v>3433</v>
      </c>
      <c r="L360" s="3">
        <v>3</v>
      </c>
      <c r="M360" s="10" t="s">
        <v>4275</v>
      </c>
      <c r="N360" s="3" t="s">
        <v>4282</v>
      </c>
      <c r="O360" s="7">
        <v>367.34</v>
      </c>
      <c r="P360" s="3">
        <f t="shared" si="12"/>
        <v>367.34</v>
      </c>
    </row>
    <row r="361" spans="1:16" x14ac:dyDescent="0.35">
      <c r="A361" t="s">
        <v>373</v>
      </c>
      <c r="B361" s="5">
        <v>45086</v>
      </c>
      <c r="C361" t="s">
        <v>1573</v>
      </c>
      <c r="D361" s="1" t="str">
        <f t="shared" si="11"/>
        <v>Phone</v>
      </c>
      <c r="E361" t="s">
        <v>2409</v>
      </c>
      <c r="F361">
        <v>4</v>
      </c>
      <c r="G361" s="7">
        <v>606.57000000000005</v>
      </c>
      <c r="H361" s="3" t="s">
        <v>2711</v>
      </c>
      <c r="I361" s="3" t="s">
        <v>3065</v>
      </c>
      <c r="J361" s="3" t="s">
        <v>3073</v>
      </c>
      <c r="K361" s="3" t="s">
        <v>3434</v>
      </c>
      <c r="L361" s="3">
        <v>5</v>
      </c>
      <c r="M361" s="10" t="s">
        <v>4277</v>
      </c>
      <c r="N361" s="3" t="s">
        <v>4279</v>
      </c>
      <c r="O361" s="7">
        <v>2426.2800000000002</v>
      </c>
      <c r="P361" s="3">
        <f t="shared" si="12"/>
        <v>2426.2800000000002</v>
      </c>
    </row>
    <row r="362" spans="1:16" x14ac:dyDescent="0.35">
      <c r="A362" t="s">
        <v>374</v>
      </c>
      <c r="B362" s="5">
        <v>45449</v>
      </c>
      <c r="C362" t="s">
        <v>1574</v>
      </c>
      <c r="D362" s="1" t="str">
        <f t="shared" si="11"/>
        <v>Printer</v>
      </c>
      <c r="E362" t="s">
        <v>2404</v>
      </c>
      <c r="F362">
        <v>4</v>
      </c>
      <c r="G362" s="7">
        <v>589.57000000000005</v>
      </c>
      <c r="H362" s="3" t="s">
        <v>2712</v>
      </c>
      <c r="I362" s="3" t="s">
        <v>3069</v>
      </c>
      <c r="J362" s="3" t="s">
        <v>3074</v>
      </c>
      <c r="K362" s="3" t="s">
        <v>3435</v>
      </c>
      <c r="L362" s="3">
        <v>8</v>
      </c>
      <c r="N362" s="3" t="s">
        <v>4278</v>
      </c>
      <c r="O362" s="7">
        <v>2358.2800000000002</v>
      </c>
      <c r="P362" s="3">
        <f t="shared" si="12"/>
        <v>2358.2800000000002</v>
      </c>
    </row>
    <row r="363" spans="1:16" x14ac:dyDescent="0.35">
      <c r="A363" t="s">
        <v>375</v>
      </c>
      <c r="B363" s="5">
        <v>45472</v>
      </c>
      <c r="C363" t="s">
        <v>1575</v>
      </c>
      <c r="D363" s="1" t="str">
        <f t="shared" si="11"/>
        <v>Monitor</v>
      </c>
      <c r="E363" t="s">
        <v>2407</v>
      </c>
      <c r="F363">
        <v>5</v>
      </c>
      <c r="G363" s="7">
        <v>659.85</v>
      </c>
      <c r="H363" s="3" t="s">
        <v>2713</v>
      </c>
      <c r="I363" s="3" t="s">
        <v>3067</v>
      </c>
      <c r="J363" s="3" t="s">
        <v>3073</v>
      </c>
      <c r="K363" s="3" t="s">
        <v>3436</v>
      </c>
      <c r="L363" s="3">
        <v>9</v>
      </c>
      <c r="M363" s="10" t="s">
        <v>4275</v>
      </c>
      <c r="N363" s="3" t="s">
        <v>4281</v>
      </c>
      <c r="O363" s="7">
        <v>3299.25</v>
      </c>
      <c r="P363" s="3">
        <f t="shared" si="12"/>
        <v>3299.25</v>
      </c>
    </row>
    <row r="364" spans="1:16" x14ac:dyDescent="0.35">
      <c r="A364" t="s">
        <v>376</v>
      </c>
      <c r="B364" s="5">
        <v>45104</v>
      </c>
      <c r="C364" t="s">
        <v>1576</v>
      </c>
      <c r="D364" s="1" t="str">
        <f t="shared" si="11"/>
        <v>Laptop</v>
      </c>
      <c r="E364" t="s">
        <v>2403</v>
      </c>
      <c r="F364">
        <v>4</v>
      </c>
      <c r="G364" s="7">
        <v>206.84</v>
      </c>
      <c r="H364" s="3" t="s">
        <v>2714</v>
      </c>
      <c r="I364" s="3" t="s">
        <v>3069</v>
      </c>
      <c r="J364" s="3" t="s">
        <v>3071</v>
      </c>
      <c r="K364" s="3" t="s">
        <v>3437</v>
      </c>
      <c r="L364" s="3">
        <v>5</v>
      </c>
      <c r="M364" s="10" t="s">
        <v>4277</v>
      </c>
      <c r="N364" s="3" t="s">
        <v>4278</v>
      </c>
      <c r="O364" s="7">
        <v>827.36</v>
      </c>
      <c r="P364" s="3">
        <f t="shared" si="12"/>
        <v>827.36</v>
      </c>
    </row>
    <row r="365" spans="1:16" x14ac:dyDescent="0.35">
      <c r="A365" t="s">
        <v>377</v>
      </c>
      <c r="B365" s="5">
        <v>45436</v>
      </c>
      <c r="C365" t="s">
        <v>1577</v>
      </c>
      <c r="D365" s="1" t="str">
        <f t="shared" si="11"/>
        <v>Phone</v>
      </c>
      <c r="E365" t="s">
        <v>2408</v>
      </c>
      <c r="F365">
        <v>5</v>
      </c>
      <c r="G365" s="7">
        <v>113.87</v>
      </c>
      <c r="H365" s="3" t="s">
        <v>2452</v>
      </c>
      <c r="I365" s="3" t="s">
        <v>3067</v>
      </c>
      <c r="J365" s="3" t="s">
        <v>3074</v>
      </c>
      <c r="K365" s="3" t="s">
        <v>3438</v>
      </c>
      <c r="L365" s="3">
        <v>6</v>
      </c>
      <c r="M365" s="10" t="s">
        <v>4275</v>
      </c>
      <c r="N365" s="3" t="s">
        <v>4280</v>
      </c>
      <c r="O365" s="7">
        <v>569.35</v>
      </c>
      <c r="P365" s="3">
        <f t="shared" si="12"/>
        <v>569.35</v>
      </c>
    </row>
    <row r="366" spans="1:16" x14ac:dyDescent="0.35">
      <c r="A366" t="s">
        <v>378</v>
      </c>
      <c r="B366" s="5">
        <v>45254</v>
      </c>
      <c r="C366" t="s">
        <v>1578</v>
      </c>
      <c r="D366" s="1" t="str">
        <f t="shared" si="11"/>
        <v>Phone</v>
      </c>
      <c r="E366" t="s">
        <v>2404</v>
      </c>
      <c r="F366">
        <v>5</v>
      </c>
      <c r="G366" s="7">
        <v>628.74</v>
      </c>
      <c r="H366" s="3" t="s">
        <v>2650</v>
      </c>
      <c r="I366" s="3" t="s">
        <v>3069</v>
      </c>
      <c r="J366" s="3" t="s">
        <v>3071</v>
      </c>
      <c r="K366" s="3" t="s">
        <v>3439</v>
      </c>
      <c r="L366" s="3">
        <v>9</v>
      </c>
      <c r="M366" s="10" t="s">
        <v>4276</v>
      </c>
      <c r="N366" s="3" t="s">
        <v>4281</v>
      </c>
      <c r="O366" s="7">
        <v>3143.7</v>
      </c>
      <c r="P366" s="3">
        <f t="shared" si="12"/>
        <v>3143.7</v>
      </c>
    </row>
    <row r="367" spans="1:16" x14ac:dyDescent="0.35">
      <c r="A367" t="s">
        <v>379</v>
      </c>
      <c r="B367" s="5">
        <v>45702</v>
      </c>
      <c r="C367" t="s">
        <v>1579</v>
      </c>
      <c r="D367" s="1" t="str">
        <f t="shared" si="11"/>
        <v>Printer</v>
      </c>
      <c r="E367" t="s">
        <v>2404</v>
      </c>
      <c r="F367">
        <v>1</v>
      </c>
      <c r="G367" s="7">
        <v>678.38</v>
      </c>
      <c r="H367" s="3" t="s">
        <v>2686</v>
      </c>
      <c r="I367" s="3" t="s">
        <v>3067</v>
      </c>
      <c r="J367" s="3" t="s">
        <v>3071</v>
      </c>
      <c r="K367" s="3" t="s">
        <v>3440</v>
      </c>
      <c r="L367" s="3">
        <v>4</v>
      </c>
      <c r="M367" s="10" t="s">
        <v>4275</v>
      </c>
      <c r="N367" s="3" t="s">
        <v>4279</v>
      </c>
      <c r="O367" s="7">
        <v>678.38</v>
      </c>
      <c r="P367" s="3">
        <f t="shared" si="12"/>
        <v>678.38</v>
      </c>
    </row>
    <row r="368" spans="1:16" x14ac:dyDescent="0.35">
      <c r="A368" t="s">
        <v>380</v>
      </c>
      <c r="B368" s="5">
        <v>44967</v>
      </c>
      <c r="C368" t="s">
        <v>1580</v>
      </c>
      <c r="D368" s="1" t="str">
        <f t="shared" si="11"/>
        <v>Laptop</v>
      </c>
      <c r="E368" t="s">
        <v>2407</v>
      </c>
      <c r="F368">
        <v>3</v>
      </c>
      <c r="G368" s="7">
        <v>602.24</v>
      </c>
      <c r="H368" s="3" t="s">
        <v>2715</v>
      </c>
      <c r="I368" s="3" t="s">
        <v>3065</v>
      </c>
      <c r="J368" s="3" t="s">
        <v>3074</v>
      </c>
      <c r="K368" s="3" t="s">
        <v>3441</v>
      </c>
      <c r="L368" s="3">
        <v>8</v>
      </c>
      <c r="N368" s="3" t="s">
        <v>4279</v>
      </c>
      <c r="O368" s="7">
        <v>1806.72</v>
      </c>
      <c r="P368" s="3">
        <f t="shared" si="12"/>
        <v>1806.72</v>
      </c>
    </row>
    <row r="369" spans="1:16" x14ac:dyDescent="0.35">
      <c r="A369" t="s">
        <v>381</v>
      </c>
      <c r="B369" s="5">
        <v>45407</v>
      </c>
      <c r="C369" t="s">
        <v>1581</v>
      </c>
      <c r="D369" s="1" t="str">
        <f t="shared" si="11"/>
        <v>Monitor</v>
      </c>
      <c r="E369" t="s">
        <v>2408</v>
      </c>
      <c r="F369">
        <v>5</v>
      </c>
      <c r="G369" s="7">
        <v>658.77</v>
      </c>
      <c r="H369" s="3" t="s">
        <v>2630</v>
      </c>
      <c r="I369" s="3" t="s">
        <v>3068</v>
      </c>
      <c r="J369" s="3" t="s">
        <v>3074</v>
      </c>
      <c r="K369" s="3" t="s">
        <v>3442</v>
      </c>
      <c r="L369" s="3">
        <v>10</v>
      </c>
      <c r="M369" s="10" t="s">
        <v>4276</v>
      </c>
      <c r="N369" s="3" t="s">
        <v>4278</v>
      </c>
      <c r="O369" s="7">
        <v>3293.85</v>
      </c>
      <c r="P369" s="3">
        <f t="shared" si="12"/>
        <v>3293.85</v>
      </c>
    </row>
    <row r="370" spans="1:16" x14ac:dyDescent="0.35">
      <c r="A370" t="s">
        <v>382</v>
      </c>
      <c r="B370" s="5">
        <v>45047</v>
      </c>
      <c r="C370" t="s">
        <v>1582</v>
      </c>
      <c r="D370" s="1" t="str">
        <f t="shared" si="11"/>
        <v>Monitor</v>
      </c>
      <c r="E370" t="s">
        <v>2403</v>
      </c>
      <c r="F370">
        <v>3</v>
      </c>
      <c r="G370" s="7">
        <v>271.02</v>
      </c>
      <c r="H370" s="3" t="s">
        <v>2716</v>
      </c>
      <c r="I370" s="3" t="s">
        <v>3067</v>
      </c>
      <c r="J370" s="3" t="s">
        <v>3071</v>
      </c>
      <c r="K370" s="3" t="s">
        <v>3443</v>
      </c>
      <c r="L370" s="3">
        <v>6</v>
      </c>
      <c r="N370" s="3" t="s">
        <v>4282</v>
      </c>
      <c r="O370" s="7">
        <v>813.06</v>
      </c>
      <c r="P370" s="3">
        <f t="shared" si="12"/>
        <v>813.06</v>
      </c>
    </row>
    <row r="371" spans="1:16" x14ac:dyDescent="0.35">
      <c r="A371" t="s">
        <v>383</v>
      </c>
      <c r="B371" s="5">
        <v>45648</v>
      </c>
      <c r="C371" t="s">
        <v>1583</v>
      </c>
      <c r="D371" s="1" t="str">
        <f t="shared" si="11"/>
        <v>Phone</v>
      </c>
      <c r="E371" t="s">
        <v>2403</v>
      </c>
      <c r="F371">
        <v>5</v>
      </c>
      <c r="G371" s="7">
        <v>375.25</v>
      </c>
      <c r="H371" s="3" t="s">
        <v>2717</v>
      </c>
      <c r="I371" s="3" t="s">
        <v>3068</v>
      </c>
      <c r="J371" s="3" t="s">
        <v>3074</v>
      </c>
      <c r="K371" s="3" t="s">
        <v>3444</v>
      </c>
      <c r="L371" s="3">
        <v>9</v>
      </c>
      <c r="M371" s="10" t="s">
        <v>4275</v>
      </c>
      <c r="N371" s="3" t="s">
        <v>4280</v>
      </c>
      <c r="O371" s="7">
        <v>1876.25</v>
      </c>
      <c r="P371" s="3">
        <f t="shared" si="12"/>
        <v>1876.25</v>
      </c>
    </row>
    <row r="372" spans="1:16" x14ac:dyDescent="0.35">
      <c r="A372" t="s">
        <v>384</v>
      </c>
      <c r="B372" s="5">
        <v>45780</v>
      </c>
      <c r="C372" t="s">
        <v>1584</v>
      </c>
      <c r="D372" s="1" t="str">
        <f t="shared" si="11"/>
        <v>Phone</v>
      </c>
      <c r="E372" t="s">
        <v>2404</v>
      </c>
      <c r="F372">
        <v>1</v>
      </c>
      <c r="G372" s="7">
        <v>312.11</v>
      </c>
      <c r="H372" s="3" t="s">
        <v>2718</v>
      </c>
      <c r="I372" s="3" t="s">
        <v>3066</v>
      </c>
      <c r="J372" s="3" t="s">
        <v>3071</v>
      </c>
      <c r="K372" s="3" t="s">
        <v>3445</v>
      </c>
      <c r="L372" s="3">
        <v>4</v>
      </c>
      <c r="M372" s="10" t="s">
        <v>4277</v>
      </c>
      <c r="N372" s="3" t="s">
        <v>4281</v>
      </c>
      <c r="O372" s="7">
        <v>312.11</v>
      </c>
      <c r="P372" s="3">
        <f t="shared" si="12"/>
        <v>312.11</v>
      </c>
    </row>
    <row r="373" spans="1:16" x14ac:dyDescent="0.35">
      <c r="A373" t="s">
        <v>385</v>
      </c>
      <c r="B373" s="5">
        <v>44931</v>
      </c>
      <c r="C373" t="s">
        <v>1585</v>
      </c>
      <c r="D373" s="1" t="str">
        <f t="shared" si="11"/>
        <v>Chair</v>
      </c>
      <c r="E373" t="s">
        <v>2404</v>
      </c>
      <c r="F373">
        <v>5</v>
      </c>
      <c r="G373" s="7">
        <v>307.76</v>
      </c>
      <c r="H373" s="3" t="s">
        <v>2422</v>
      </c>
      <c r="I373" s="3" t="s">
        <v>3068</v>
      </c>
      <c r="J373" s="3" t="s">
        <v>3074</v>
      </c>
      <c r="K373" s="3" t="s">
        <v>3446</v>
      </c>
      <c r="L373" s="3">
        <v>9</v>
      </c>
      <c r="M373" s="10" t="s">
        <v>4276</v>
      </c>
      <c r="N373" s="3" t="s">
        <v>4282</v>
      </c>
      <c r="O373" s="7">
        <v>1538.8</v>
      </c>
      <c r="P373" s="3">
        <f t="shared" si="12"/>
        <v>1538.8</v>
      </c>
    </row>
    <row r="374" spans="1:16" x14ac:dyDescent="0.35">
      <c r="A374" t="s">
        <v>386</v>
      </c>
      <c r="B374" s="5">
        <v>45702</v>
      </c>
      <c r="C374" t="s">
        <v>1586</v>
      </c>
      <c r="D374" s="1" t="str">
        <f t="shared" si="11"/>
        <v>Laptop</v>
      </c>
      <c r="E374" t="s">
        <v>2406</v>
      </c>
      <c r="F374">
        <v>3</v>
      </c>
      <c r="G374" s="7">
        <v>483.53</v>
      </c>
      <c r="H374" s="3" t="s">
        <v>2719</v>
      </c>
      <c r="I374" s="3" t="s">
        <v>3069</v>
      </c>
      <c r="J374" s="3" t="s">
        <v>3072</v>
      </c>
      <c r="K374" s="3" t="s">
        <v>3447</v>
      </c>
      <c r="L374" s="3">
        <v>4</v>
      </c>
      <c r="N374" s="3" t="s">
        <v>4279</v>
      </c>
      <c r="O374" s="7">
        <v>1450.59</v>
      </c>
      <c r="P374" s="3">
        <f t="shared" si="12"/>
        <v>1450.59</v>
      </c>
    </row>
    <row r="375" spans="1:16" x14ac:dyDescent="0.35">
      <c r="A375" t="s">
        <v>387</v>
      </c>
      <c r="B375" s="5">
        <v>44928</v>
      </c>
      <c r="C375" t="s">
        <v>1587</v>
      </c>
      <c r="D375" s="1" t="str">
        <f t="shared" si="11"/>
        <v>Monitor</v>
      </c>
      <c r="E375" t="s">
        <v>2408</v>
      </c>
      <c r="F375">
        <v>3</v>
      </c>
      <c r="G375" s="7">
        <v>341.15</v>
      </c>
      <c r="H375" s="3" t="s">
        <v>2720</v>
      </c>
      <c r="I375" s="3" t="s">
        <v>3069</v>
      </c>
      <c r="J375" s="3" t="s">
        <v>3074</v>
      </c>
      <c r="K375" s="3" t="s">
        <v>3448</v>
      </c>
      <c r="L375" s="3">
        <v>4</v>
      </c>
      <c r="M375" s="10" t="s">
        <v>4276</v>
      </c>
      <c r="N375" s="3" t="s">
        <v>4278</v>
      </c>
      <c r="O375" s="7">
        <v>1023.45</v>
      </c>
      <c r="P375" s="3">
        <f t="shared" si="12"/>
        <v>1023.4499999999999</v>
      </c>
    </row>
    <row r="376" spans="1:16" x14ac:dyDescent="0.35">
      <c r="A376" t="s">
        <v>388</v>
      </c>
      <c r="B376" s="5">
        <v>45551</v>
      </c>
      <c r="C376" t="s">
        <v>1588</v>
      </c>
      <c r="D376" s="1" t="str">
        <f t="shared" si="11"/>
        <v>Monitor</v>
      </c>
      <c r="E376" t="s">
        <v>2403</v>
      </c>
      <c r="F376">
        <v>1</v>
      </c>
      <c r="G376" s="7">
        <v>571.9</v>
      </c>
      <c r="H376" s="3" t="s">
        <v>2477</v>
      </c>
      <c r="I376" s="3" t="s">
        <v>3068</v>
      </c>
      <c r="J376" s="3" t="s">
        <v>3074</v>
      </c>
      <c r="K376" s="3" t="s">
        <v>3449</v>
      </c>
      <c r="L376" s="3">
        <v>1</v>
      </c>
      <c r="M376" s="10" t="s">
        <v>4277</v>
      </c>
      <c r="N376" s="3" t="s">
        <v>4278</v>
      </c>
      <c r="O376" s="7">
        <v>571.9</v>
      </c>
      <c r="P376" s="3">
        <f t="shared" si="12"/>
        <v>571.9</v>
      </c>
    </row>
    <row r="377" spans="1:16" x14ac:dyDescent="0.35">
      <c r="A377" t="s">
        <v>389</v>
      </c>
      <c r="B377" s="5">
        <v>45673</v>
      </c>
      <c r="C377" t="s">
        <v>1589</v>
      </c>
      <c r="D377" s="1" t="str">
        <f t="shared" si="11"/>
        <v>Monitor</v>
      </c>
      <c r="E377" t="s">
        <v>2403</v>
      </c>
      <c r="F377">
        <v>4</v>
      </c>
      <c r="G377" s="7">
        <v>95.03</v>
      </c>
      <c r="H377" s="3" t="s">
        <v>2721</v>
      </c>
      <c r="I377" s="3" t="s">
        <v>3066</v>
      </c>
      <c r="J377" s="3" t="s">
        <v>3070</v>
      </c>
      <c r="K377" s="3" t="s">
        <v>3450</v>
      </c>
      <c r="L377" s="3">
        <v>8</v>
      </c>
      <c r="M377" s="10" t="s">
        <v>4276</v>
      </c>
      <c r="N377" s="3" t="s">
        <v>4281</v>
      </c>
      <c r="O377" s="7">
        <v>380.12</v>
      </c>
      <c r="P377" s="3">
        <f t="shared" si="12"/>
        <v>380.12</v>
      </c>
    </row>
    <row r="378" spans="1:16" x14ac:dyDescent="0.35">
      <c r="A378" t="s">
        <v>390</v>
      </c>
      <c r="B378" s="5">
        <v>45162</v>
      </c>
      <c r="C378" t="s">
        <v>1590</v>
      </c>
      <c r="D378" s="1" t="str">
        <f t="shared" si="11"/>
        <v>Monitor</v>
      </c>
      <c r="E378" t="s">
        <v>2403</v>
      </c>
      <c r="F378">
        <v>5</v>
      </c>
      <c r="G378" s="7">
        <v>201.22</v>
      </c>
      <c r="H378" s="3" t="s">
        <v>2722</v>
      </c>
      <c r="I378" s="3" t="s">
        <v>3065</v>
      </c>
      <c r="J378" s="3" t="s">
        <v>3074</v>
      </c>
      <c r="K378" s="3" t="s">
        <v>3451</v>
      </c>
      <c r="L378" s="3">
        <v>6</v>
      </c>
      <c r="M378" s="10" t="s">
        <v>4276</v>
      </c>
      <c r="N378" s="3" t="s">
        <v>4281</v>
      </c>
      <c r="O378" s="7">
        <v>1006.1</v>
      </c>
      <c r="P378" s="3">
        <f t="shared" si="12"/>
        <v>1006.1</v>
      </c>
    </row>
    <row r="379" spans="1:16" x14ac:dyDescent="0.35">
      <c r="A379" t="s">
        <v>391</v>
      </c>
      <c r="B379" s="5">
        <v>45495</v>
      </c>
      <c r="C379" t="s">
        <v>1591</v>
      </c>
      <c r="D379" s="1" t="str">
        <f t="shared" si="11"/>
        <v>Chair</v>
      </c>
      <c r="E379" t="s">
        <v>2403</v>
      </c>
      <c r="F379">
        <v>1</v>
      </c>
      <c r="G379" s="7">
        <v>260.26</v>
      </c>
      <c r="H379" s="3" t="s">
        <v>2671</v>
      </c>
      <c r="I379" s="3" t="s">
        <v>3066</v>
      </c>
      <c r="J379" s="3" t="s">
        <v>3074</v>
      </c>
      <c r="K379" s="3" t="s">
        <v>3452</v>
      </c>
      <c r="L379" s="3">
        <v>5</v>
      </c>
      <c r="M379" s="10" t="s">
        <v>4277</v>
      </c>
      <c r="N379" s="3" t="s">
        <v>4278</v>
      </c>
      <c r="O379" s="7">
        <v>260.26</v>
      </c>
      <c r="P379" s="3">
        <f t="shared" si="12"/>
        <v>260.26</v>
      </c>
    </row>
    <row r="380" spans="1:16" x14ac:dyDescent="0.35">
      <c r="A380" t="s">
        <v>392</v>
      </c>
      <c r="B380" s="5">
        <v>45323</v>
      </c>
      <c r="C380" t="s">
        <v>1592</v>
      </c>
      <c r="D380" s="1" t="str">
        <f t="shared" si="11"/>
        <v>Phone</v>
      </c>
      <c r="E380" t="s">
        <v>2406</v>
      </c>
      <c r="F380">
        <v>5</v>
      </c>
      <c r="G380" s="7">
        <v>64.5</v>
      </c>
      <c r="H380" s="3" t="s">
        <v>2723</v>
      </c>
      <c r="I380" s="3" t="s">
        <v>3067</v>
      </c>
      <c r="J380" s="3" t="s">
        <v>3074</v>
      </c>
      <c r="K380" s="3" t="s">
        <v>3453</v>
      </c>
      <c r="L380" s="3">
        <v>8</v>
      </c>
      <c r="M380" s="10" t="s">
        <v>4277</v>
      </c>
      <c r="N380" s="3" t="s">
        <v>4278</v>
      </c>
      <c r="O380" s="7">
        <v>322.5</v>
      </c>
      <c r="P380" s="3">
        <f t="shared" si="12"/>
        <v>322.5</v>
      </c>
    </row>
    <row r="381" spans="1:16" x14ac:dyDescent="0.35">
      <c r="A381" t="s">
        <v>393</v>
      </c>
      <c r="B381" s="5">
        <v>45556</v>
      </c>
      <c r="C381" t="s">
        <v>1593</v>
      </c>
      <c r="D381" s="1" t="str">
        <f t="shared" si="11"/>
        <v>Printer</v>
      </c>
      <c r="E381" t="s">
        <v>2404</v>
      </c>
      <c r="F381">
        <v>3</v>
      </c>
      <c r="G381" s="7">
        <v>297.67</v>
      </c>
      <c r="H381" s="3" t="s">
        <v>2571</v>
      </c>
      <c r="I381" s="3" t="s">
        <v>3066</v>
      </c>
      <c r="J381" s="3" t="s">
        <v>3070</v>
      </c>
      <c r="K381" s="3" t="s">
        <v>3454</v>
      </c>
      <c r="L381" s="3">
        <v>6</v>
      </c>
      <c r="N381" s="3" t="s">
        <v>4282</v>
      </c>
      <c r="O381" s="7">
        <v>893.01</v>
      </c>
      <c r="P381" s="3">
        <f t="shared" si="12"/>
        <v>893.01</v>
      </c>
    </row>
    <row r="382" spans="1:16" x14ac:dyDescent="0.35">
      <c r="A382" t="s">
        <v>394</v>
      </c>
      <c r="B382" s="5">
        <v>45402</v>
      </c>
      <c r="C382" t="s">
        <v>1594</v>
      </c>
      <c r="D382" s="1" t="str">
        <f t="shared" si="11"/>
        <v>Chair</v>
      </c>
      <c r="E382" t="s">
        <v>2407</v>
      </c>
      <c r="F382">
        <v>4</v>
      </c>
      <c r="G382" s="7">
        <v>331.9</v>
      </c>
      <c r="H382" s="3" t="s">
        <v>2640</v>
      </c>
      <c r="I382" s="3" t="s">
        <v>3069</v>
      </c>
      <c r="J382" s="3" t="s">
        <v>3074</v>
      </c>
      <c r="K382" s="3" t="s">
        <v>3455</v>
      </c>
      <c r="L382" s="3">
        <v>5</v>
      </c>
      <c r="M382" s="10" t="s">
        <v>4275</v>
      </c>
      <c r="N382" s="3" t="s">
        <v>4278</v>
      </c>
      <c r="O382" s="7">
        <v>1327.6</v>
      </c>
      <c r="P382" s="3">
        <f t="shared" si="12"/>
        <v>1327.6</v>
      </c>
    </row>
    <row r="383" spans="1:16" x14ac:dyDescent="0.35">
      <c r="A383" t="s">
        <v>395</v>
      </c>
      <c r="B383" s="5">
        <v>45084</v>
      </c>
      <c r="C383" t="s">
        <v>1595</v>
      </c>
      <c r="D383" s="1" t="str">
        <f t="shared" si="11"/>
        <v>Printer</v>
      </c>
      <c r="E383" t="s">
        <v>2406</v>
      </c>
      <c r="F383">
        <v>1</v>
      </c>
      <c r="G383" s="7">
        <v>191.76</v>
      </c>
      <c r="H383" s="3" t="s">
        <v>2454</v>
      </c>
      <c r="I383" s="3" t="s">
        <v>3067</v>
      </c>
      <c r="J383" s="3" t="s">
        <v>3072</v>
      </c>
      <c r="K383" s="3" t="s">
        <v>3456</v>
      </c>
      <c r="L383" s="3">
        <v>1</v>
      </c>
      <c r="M383" s="10" t="s">
        <v>4276</v>
      </c>
      <c r="N383" s="3" t="s">
        <v>4278</v>
      </c>
      <c r="O383" s="7">
        <v>191.76</v>
      </c>
      <c r="P383" s="3">
        <f t="shared" si="12"/>
        <v>191.76</v>
      </c>
    </row>
    <row r="384" spans="1:16" x14ac:dyDescent="0.35">
      <c r="A384" t="s">
        <v>396</v>
      </c>
      <c r="B384" s="5">
        <v>45687</v>
      </c>
      <c r="C384" t="s">
        <v>1596</v>
      </c>
      <c r="D384" s="1" t="str">
        <f t="shared" si="11"/>
        <v>Chair</v>
      </c>
      <c r="E384" t="s">
        <v>2407</v>
      </c>
      <c r="F384">
        <v>4</v>
      </c>
      <c r="G384" s="7">
        <v>263.08999999999997</v>
      </c>
      <c r="H384" s="3" t="s">
        <v>2724</v>
      </c>
      <c r="I384" s="3" t="s">
        <v>3065</v>
      </c>
      <c r="J384" s="3" t="s">
        <v>3070</v>
      </c>
      <c r="K384" s="3" t="s">
        <v>3457</v>
      </c>
      <c r="L384" s="3">
        <v>8</v>
      </c>
      <c r="M384" s="10" t="s">
        <v>4275</v>
      </c>
      <c r="N384" s="3" t="s">
        <v>4282</v>
      </c>
      <c r="O384" s="7">
        <v>1052.3599999999999</v>
      </c>
      <c r="P384" s="3">
        <f t="shared" si="12"/>
        <v>1052.3599999999999</v>
      </c>
    </row>
    <row r="385" spans="1:16" x14ac:dyDescent="0.35">
      <c r="A385" t="s">
        <v>397</v>
      </c>
      <c r="B385" s="5">
        <v>44946</v>
      </c>
      <c r="C385" t="s">
        <v>1597</v>
      </c>
      <c r="D385" s="1" t="str">
        <f t="shared" si="11"/>
        <v>Chair</v>
      </c>
      <c r="E385" t="s">
        <v>2406</v>
      </c>
      <c r="F385">
        <v>4</v>
      </c>
      <c r="G385" s="7">
        <v>393.8</v>
      </c>
      <c r="H385" s="3" t="s">
        <v>2497</v>
      </c>
      <c r="I385" s="3" t="s">
        <v>3067</v>
      </c>
      <c r="J385" s="3" t="s">
        <v>3074</v>
      </c>
      <c r="K385" s="3" t="s">
        <v>3458</v>
      </c>
      <c r="L385" s="3">
        <v>7</v>
      </c>
      <c r="M385" s="10" t="s">
        <v>4275</v>
      </c>
      <c r="N385" s="3" t="s">
        <v>4280</v>
      </c>
      <c r="O385" s="7">
        <v>1575.2</v>
      </c>
      <c r="P385" s="3">
        <f t="shared" si="12"/>
        <v>1575.2</v>
      </c>
    </row>
    <row r="386" spans="1:16" x14ac:dyDescent="0.35">
      <c r="A386" t="s">
        <v>398</v>
      </c>
      <c r="B386" s="5">
        <v>45620</v>
      </c>
      <c r="C386" t="s">
        <v>1598</v>
      </c>
      <c r="D386" s="1" t="str">
        <f t="shared" ref="D386:D449" si="13">PROPER(TRIM(E387))</f>
        <v>Chair</v>
      </c>
      <c r="E386" t="s">
        <v>2406</v>
      </c>
      <c r="F386">
        <v>3</v>
      </c>
      <c r="G386" s="7">
        <v>553.57000000000005</v>
      </c>
      <c r="H386" s="3" t="s">
        <v>2725</v>
      </c>
      <c r="I386" s="3" t="s">
        <v>3067</v>
      </c>
      <c r="J386" s="3" t="s">
        <v>3072</v>
      </c>
      <c r="K386" s="3" t="s">
        <v>3459</v>
      </c>
      <c r="L386" s="3">
        <v>4</v>
      </c>
      <c r="M386" s="10" t="s">
        <v>4276</v>
      </c>
      <c r="N386" s="3" t="s">
        <v>4281</v>
      </c>
      <c r="O386" s="7">
        <v>1660.71</v>
      </c>
      <c r="P386" s="3">
        <f t="shared" si="12"/>
        <v>1660.71</v>
      </c>
    </row>
    <row r="387" spans="1:16" x14ac:dyDescent="0.35">
      <c r="A387" t="s">
        <v>399</v>
      </c>
      <c r="B387" s="5">
        <v>45230</v>
      </c>
      <c r="C387" t="s">
        <v>1599</v>
      </c>
      <c r="D387" s="1" t="str">
        <f t="shared" si="13"/>
        <v>Tablet</v>
      </c>
      <c r="E387" t="s">
        <v>2406</v>
      </c>
      <c r="F387">
        <v>5</v>
      </c>
      <c r="G387" s="7">
        <v>191.63</v>
      </c>
      <c r="H387" s="3" t="s">
        <v>2470</v>
      </c>
      <c r="I387" s="3" t="s">
        <v>3068</v>
      </c>
      <c r="J387" s="3" t="s">
        <v>3073</v>
      </c>
      <c r="K387" s="3" t="s">
        <v>3460</v>
      </c>
      <c r="L387" s="3">
        <v>6</v>
      </c>
      <c r="M387" s="10" t="s">
        <v>4276</v>
      </c>
      <c r="N387" s="3" t="s">
        <v>4281</v>
      </c>
      <c r="O387" s="7">
        <v>958.15</v>
      </c>
      <c r="P387" s="3">
        <f t="shared" ref="P387:P450" si="14">G387*F387</f>
        <v>958.15</v>
      </c>
    </row>
    <row r="388" spans="1:16" x14ac:dyDescent="0.35">
      <c r="A388" t="s">
        <v>400</v>
      </c>
      <c r="B388" s="5">
        <v>45044</v>
      </c>
      <c r="C388" t="s">
        <v>1600</v>
      </c>
      <c r="D388" s="1" t="str">
        <f t="shared" si="13"/>
        <v>Printer</v>
      </c>
      <c r="E388" t="s">
        <v>2405</v>
      </c>
      <c r="F388">
        <v>1</v>
      </c>
      <c r="G388" s="7">
        <v>93.02</v>
      </c>
      <c r="H388" s="3" t="s">
        <v>2726</v>
      </c>
      <c r="I388" s="3" t="s">
        <v>3066</v>
      </c>
      <c r="J388" s="3" t="s">
        <v>3072</v>
      </c>
      <c r="K388" s="3" t="s">
        <v>3461</v>
      </c>
      <c r="L388" s="3">
        <v>4</v>
      </c>
      <c r="N388" s="3" t="s">
        <v>4280</v>
      </c>
      <c r="O388" s="7">
        <v>93.02</v>
      </c>
      <c r="P388" s="3">
        <f t="shared" si="14"/>
        <v>93.02</v>
      </c>
    </row>
    <row r="389" spans="1:16" x14ac:dyDescent="0.35">
      <c r="A389" t="s">
        <v>401</v>
      </c>
      <c r="B389" s="5">
        <v>45470</v>
      </c>
      <c r="C389" t="s">
        <v>1601</v>
      </c>
      <c r="D389" s="1" t="str">
        <f t="shared" si="13"/>
        <v>Printer</v>
      </c>
      <c r="E389" t="s">
        <v>2407</v>
      </c>
      <c r="F389">
        <v>2</v>
      </c>
      <c r="G389" s="7">
        <v>39.53</v>
      </c>
      <c r="H389" s="3" t="s">
        <v>2418</v>
      </c>
      <c r="I389" s="3" t="s">
        <v>3067</v>
      </c>
      <c r="J389" s="3" t="s">
        <v>3070</v>
      </c>
      <c r="K389" s="3" t="s">
        <v>3462</v>
      </c>
      <c r="L389" s="3">
        <v>3</v>
      </c>
      <c r="M389" s="10" t="s">
        <v>4277</v>
      </c>
      <c r="N389" s="3" t="s">
        <v>4282</v>
      </c>
      <c r="O389" s="7">
        <v>79.06</v>
      </c>
      <c r="P389" s="3">
        <f t="shared" si="14"/>
        <v>79.06</v>
      </c>
    </row>
    <row r="390" spans="1:16" x14ac:dyDescent="0.35">
      <c r="A390" t="s">
        <v>402</v>
      </c>
      <c r="B390" s="5">
        <v>45288</v>
      </c>
      <c r="C390" t="s">
        <v>1602</v>
      </c>
      <c r="D390" s="1" t="str">
        <f t="shared" si="13"/>
        <v>Desk</v>
      </c>
      <c r="E390" t="s">
        <v>2407</v>
      </c>
      <c r="F390">
        <v>3</v>
      </c>
      <c r="G390" s="7">
        <v>633.97</v>
      </c>
      <c r="H390" s="3" t="s">
        <v>2504</v>
      </c>
      <c r="I390" s="3" t="s">
        <v>3069</v>
      </c>
      <c r="J390" s="3" t="s">
        <v>3074</v>
      </c>
      <c r="K390" s="3" t="s">
        <v>3463</v>
      </c>
      <c r="L390" s="3">
        <v>7</v>
      </c>
      <c r="M390" s="10" t="s">
        <v>4277</v>
      </c>
      <c r="N390" s="3" t="s">
        <v>4281</v>
      </c>
      <c r="O390" s="7">
        <v>1901.91</v>
      </c>
      <c r="P390" s="3">
        <f t="shared" si="14"/>
        <v>1901.91</v>
      </c>
    </row>
    <row r="391" spans="1:16" x14ac:dyDescent="0.35">
      <c r="A391" t="s">
        <v>403</v>
      </c>
      <c r="B391" s="5">
        <v>45277</v>
      </c>
      <c r="C391" t="s">
        <v>1603</v>
      </c>
      <c r="D391" s="1" t="str">
        <f t="shared" si="13"/>
        <v>Printer</v>
      </c>
      <c r="E391" t="s">
        <v>2409</v>
      </c>
      <c r="F391">
        <v>4</v>
      </c>
      <c r="G391" s="7">
        <v>697.5</v>
      </c>
      <c r="H391" s="3" t="s">
        <v>2727</v>
      </c>
      <c r="I391" s="3" t="s">
        <v>3069</v>
      </c>
      <c r="J391" s="3" t="s">
        <v>3070</v>
      </c>
      <c r="K391" s="3" t="s">
        <v>3464</v>
      </c>
      <c r="L391" s="3">
        <v>7</v>
      </c>
      <c r="M391" s="10" t="s">
        <v>4276</v>
      </c>
      <c r="N391" s="3" t="s">
        <v>4279</v>
      </c>
      <c r="O391" s="7">
        <v>2790</v>
      </c>
      <c r="P391" s="3">
        <f t="shared" si="14"/>
        <v>2790</v>
      </c>
    </row>
    <row r="392" spans="1:16" x14ac:dyDescent="0.35">
      <c r="A392" t="s">
        <v>404</v>
      </c>
      <c r="B392" s="5">
        <v>45121</v>
      </c>
      <c r="C392" t="s">
        <v>1604</v>
      </c>
      <c r="D392" s="1" t="str">
        <f t="shared" si="13"/>
        <v>Laptop</v>
      </c>
      <c r="E392" t="s">
        <v>2407</v>
      </c>
      <c r="F392">
        <v>5</v>
      </c>
      <c r="G392" s="7">
        <v>508.69</v>
      </c>
      <c r="H392" s="3" t="s">
        <v>2701</v>
      </c>
      <c r="I392" s="3" t="s">
        <v>3069</v>
      </c>
      <c r="J392" s="3" t="s">
        <v>3073</v>
      </c>
      <c r="K392" s="3" t="s">
        <v>3465</v>
      </c>
      <c r="L392" s="3">
        <v>10</v>
      </c>
      <c r="M392" s="10" t="s">
        <v>4276</v>
      </c>
      <c r="N392" s="3" t="s">
        <v>4282</v>
      </c>
      <c r="O392" s="7">
        <v>2543.4499999999998</v>
      </c>
      <c r="P392" s="3">
        <f t="shared" si="14"/>
        <v>2543.4499999999998</v>
      </c>
    </row>
    <row r="393" spans="1:16" x14ac:dyDescent="0.35">
      <c r="A393" t="s">
        <v>405</v>
      </c>
      <c r="B393" s="5">
        <v>45673</v>
      </c>
      <c r="C393" t="s">
        <v>1605</v>
      </c>
      <c r="D393" s="1" t="str">
        <f t="shared" si="13"/>
        <v>Phone</v>
      </c>
      <c r="E393" t="s">
        <v>2408</v>
      </c>
      <c r="F393">
        <v>2</v>
      </c>
      <c r="G393" s="7">
        <v>527.46</v>
      </c>
      <c r="H393" s="3" t="s">
        <v>2654</v>
      </c>
      <c r="I393" s="3" t="s">
        <v>3065</v>
      </c>
      <c r="J393" s="3" t="s">
        <v>3071</v>
      </c>
      <c r="K393" s="3" t="s">
        <v>3466</v>
      </c>
      <c r="L393" s="3">
        <v>3</v>
      </c>
      <c r="M393" s="10" t="s">
        <v>4276</v>
      </c>
      <c r="N393" s="3" t="s">
        <v>4279</v>
      </c>
      <c r="O393" s="7">
        <v>1054.92</v>
      </c>
      <c r="P393" s="3">
        <f t="shared" si="14"/>
        <v>1054.92</v>
      </c>
    </row>
    <row r="394" spans="1:16" x14ac:dyDescent="0.35">
      <c r="A394" t="s">
        <v>406</v>
      </c>
      <c r="B394" s="5">
        <v>45350</v>
      </c>
      <c r="C394" t="s">
        <v>1606</v>
      </c>
      <c r="D394" s="1" t="str">
        <f t="shared" si="13"/>
        <v>Printer</v>
      </c>
      <c r="E394" t="s">
        <v>2404</v>
      </c>
      <c r="F394">
        <v>1</v>
      </c>
      <c r="G394" s="7">
        <v>627.20000000000005</v>
      </c>
      <c r="H394" s="3" t="s">
        <v>2713</v>
      </c>
      <c r="I394" s="3" t="s">
        <v>3066</v>
      </c>
      <c r="J394" s="3" t="s">
        <v>3073</v>
      </c>
      <c r="K394" s="3" t="s">
        <v>3467</v>
      </c>
      <c r="L394" s="3">
        <v>1</v>
      </c>
      <c r="M394" s="10" t="s">
        <v>4277</v>
      </c>
      <c r="N394" s="3" t="s">
        <v>4280</v>
      </c>
      <c r="O394" s="7">
        <v>627.20000000000005</v>
      </c>
      <c r="P394" s="3">
        <f t="shared" si="14"/>
        <v>627.20000000000005</v>
      </c>
    </row>
    <row r="395" spans="1:16" x14ac:dyDescent="0.35">
      <c r="A395" t="s">
        <v>407</v>
      </c>
      <c r="B395" s="5">
        <v>45487</v>
      </c>
      <c r="C395" t="s">
        <v>1607</v>
      </c>
      <c r="D395" s="1" t="str">
        <f t="shared" si="13"/>
        <v>Desk</v>
      </c>
      <c r="E395" t="s">
        <v>2407</v>
      </c>
      <c r="F395">
        <v>1</v>
      </c>
      <c r="G395" s="7">
        <v>75.010000000000005</v>
      </c>
      <c r="H395" s="3" t="s">
        <v>2728</v>
      </c>
      <c r="I395" s="3" t="s">
        <v>3067</v>
      </c>
      <c r="J395" s="3" t="s">
        <v>3072</v>
      </c>
      <c r="K395" s="3" t="s">
        <v>3468</v>
      </c>
      <c r="L395" s="3">
        <v>3</v>
      </c>
      <c r="N395" s="3" t="s">
        <v>4282</v>
      </c>
      <c r="O395" s="7">
        <v>75.010000000000005</v>
      </c>
      <c r="P395" s="3">
        <f t="shared" si="14"/>
        <v>75.010000000000005</v>
      </c>
    </row>
    <row r="396" spans="1:16" x14ac:dyDescent="0.35">
      <c r="A396" t="s">
        <v>408</v>
      </c>
      <c r="B396" s="5">
        <v>45112</v>
      </c>
      <c r="C396" t="s">
        <v>1608</v>
      </c>
      <c r="D396" s="1" t="str">
        <f t="shared" si="13"/>
        <v>Phone</v>
      </c>
      <c r="E396" t="s">
        <v>2409</v>
      </c>
      <c r="F396">
        <v>5</v>
      </c>
      <c r="G396" s="7">
        <v>529.54999999999995</v>
      </c>
      <c r="H396" s="3" t="s">
        <v>2729</v>
      </c>
      <c r="I396" s="3" t="s">
        <v>3068</v>
      </c>
      <c r="J396" s="3" t="s">
        <v>3070</v>
      </c>
      <c r="K396" s="3" t="s">
        <v>3469</v>
      </c>
      <c r="L396" s="3">
        <v>10</v>
      </c>
      <c r="N396" s="3" t="s">
        <v>4281</v>
      </c>
      <c r="O396" s="7">
        <v>2647.75</v>
      </c>
      <c r="P396" s="3">
        <f t="shared" si="14"/>
        <v>2647.75</v>
      </c>
    </row>
    <row r="397" spans="1:16" x14ac:dyDescent="0.35">
      <c r="A397" t="s">
        <v>409</v>
      </c>
      <c r="B397" s="5">
        <v>45772</v>
      </c>
      <c r="C397" t="s">
        <v>1609</v>
      </c>
      <c r="D397" s="1" t="str">
        <f t="shared" si="13"/>
        <v>Tablet</v>
      </c>
      <c r="E397" t="s">
        <v>2404</v>
      </c>
      <c r="F397">
        <v>3</v>
      </c>
      <c r="G397" s="7">
        <v>127.41</v>
      </c>
      <c r="H397" s="3" t="s">
        <v>2442</v>
      </c>
      <c r="I397" s="3" t="s">
        <v>3068</v>
      </c>
      <c r="J397" s="3" t="s">
        <v>3073</v>
      </c>
      <c r="K397" s="3" t="s">
        <v>3470</v>
      </c>
      <c r="L397" s="3">
        <v>7</v>
      </c>
      <c r="M397" s="10" t="s">
        <v>4275</v>
      </c>
      <c r="N397" s="3" t="s">
        <v>4279</v>
      </c>
      <c r="O397" s="7">
        <v>382.23</v>
      </c>
      <c r="P397" s="3">
        <f t="shared" si="14"/>
        <v>382.23</v>
      </c>
    </row>
    <row r="398" spans="1:16" x14ac:dyDescent="0.35">
      <c r="A398" t="s">
        <v>410</v>
      </c>
      <c r="B398" s="5">
        <v>45261</v>
      </c>
      <c r="C398" t="s">
        <v>1610</v>
      </c>
      <c r="D398" s="1" t="str">
        <f t="shared" si="13"/>
        <v>Monitor</v>
      </c>
      <c r="E398" t="s">
        <v>2405</v>
      </c>
      <c r="F398">
        <v>5</v>
      </c>
      <c r="G398" s="7">
        <v>287.13</v>
      </c>
      <c r="H398" s="3" t="s">
        <v>2730</v>
      </c>
      <c r="I398" s="3" t="s">
        <v>3066</v>
      </c>
      <c r="J398" s="3" t="s">
        <v>3070</v>
      </c>
      <c r="K398" s="3" t="s">
        <v>3471</v>
      </c>
      <c r="L398" s="3">
        <v>10</v>
      </c>
      <c r="M398" s="10" t="s">
        <v>4275</v>
      </c>
      <c r="N398" s="3" t="s">
        <v>4280</v>
      </c>
      <c r="O398" s="7">
        <v>1435.65</v>
      </c>
      <c r="P398" s="3">
        <f t="shared" si="14"/>
        <v>1435.65</v>
      </c>
    </row>
    <row r="399" spans="1:16" x14ac:dyDescent="0.35">
      <c r="A399" t="s">
        <v>411</v>
      </c>
      <c r="B399" s="5">
        <v>45197</v>
      </c>
      <c r="C399" t="s">
        <v>1611</v>
      </c>
      <c r="D399" s="1" t="str">
        <f t="shared" si="13"/>
        <v>Phone</v>
      </c>
      <c r="E399" t="s">
        <v>2403</v>
      </c>
      <c r="F399">
        <v>1</v>
      </c>
      <c r="G399" s="7">
        <v>427.06</v>
      </c>
      <c r="H399" s="3" t="s">
        <v>2731</v>
      </c>
      <c r="I399" s="3" t="s">
        <v>3066</v>
      </c>
      <c r="J399" s="3" t="s">
        <v>3071</v>
      </c>
      <c r="K399" s="3" t="s">
        <v>3472</v>
      </c>
      <c r="L399" s="3">
        <v>1</v>
      </c>
      <c r="M399" s="10" t="s">
        <v>4277</v>
      </c>
      <c r="N399" s="3" t="s">
        <v>4279</v>
      </c>
      <c r="O399" s="7">
        <v>427.06</v>
      </c>
      <c r="P399" s="3">
        <f t="shared" si="14"/>
        <v>427.06</v>
      </c>
    </row>
    <row r="400" spans="1:16" x14ac:dyDescent="0.35">
      <c r="A400" t="s">
        <v>412</v>
      </c>
      <c r="B400" s="5">
        <v>45539</v>
      </c>
      <c r="C400" t="s">
        <v>1612</v>
      </c>
      <c r="D400" s="1" t="str">
        <f t="shared" si="13"/>
        <v>Tablet</v>
      </c>
      <c r="E400" t="s">
        <v>2404</v>
      </c>
      <c r="F400">
        <v>5</v>
      </c>
      <c r="G400" s="7">
        <v>53.93</v>
      </c>
      <c r="H400" s="3" t="s">
        <v>2592</v>
      </c>
      <c r="I400" s="3" t="s">
        <v>3068</v>
      </c>
      <c r="J400" s="3" t="s">
        <v>3070</v>
      </c>
      <c r="K400" s="3" t="s">
        <v>3473</v>
      </c>
      <c r="L400" s="3">
        <v>7</v>
      </c>
      <c r="M400" s="10" t="s">
        <v>4275</v>
      </c>
      <c r="N400" s="3" t="s">
        <v>4278</v>
      </c>
      <c r="O400" s="7">
        <v>269.64999999999998</v>
      </c>
      <c r="P400" s="3">
        <f t="shared" si="14"/>
        <v>269.64999999999998</v>
      </c>
    </row>
    <row r="401" spans="1:16" x14ac:dyDescent="0.35">
      <c r="A401" t="s">
        <v>413</v>
      </c>
      <c r="B401" s="5">
        <v>45298</v>
      </c>
      <c r="C401" t="s">
        <v>1613</v>
      </c>
      <c r="D401" s="1" t="str">
        <f t="shared" si="13"/>
        <v>Desk</v>
      </c>
      <c r="E401" t="s">
        <v>2405</v>
      </c>
      <c r="F401">
        <v>5</v>
      </c>
      <c r="G401" s="7">
        <v>423.93</v>
      </c>
      <c r="H401" s="3" t="s">
        <v>2732</v>
      </c>
      <c r="I401" s="3" t="s">
        <v>3065</v>
      </c>
      <c r="J401" s="3" t="s">
        <v>3072</v>
      </c>
      <c r="K401" s="3" t="s">
        <v>3474</v>
      </c>
      <c r="L401" s="3">
        <v>5</v>
      </c>
      <c r="M401" s="10" t="s">
        <v>4276</v>
      </c>
      <c r="N401" s="3" t="s">
        <v>4281</v>
      </c>
      <c r="O401" s="7">
        <v>2119.65</v>
      </c>
      <c r="P401" s="3">
        <f t="shared" si="14"/>
        <v>2119.65</v>
      </c>
    </row>
    <row r="402" spans="1:16" x14ac:dyDescent="0.35">
      <c r="A402" t="s">
        <v>414</v>
      </c>
      <c r="B402" s="5">
        <v>45563</v>
      </c>
      <c r="C402" t="s">
        <v>1614</v>
      </c>
      <c r="D402" s="1" t="str">
        <f t="shared" si="13"/>
        <v>Printer</v>
      </c>
      <c r="E402" t="s">
        <v>2409</v>
      </c>
      <c r="F402">
        <v>4</v>
      </c>
      <c r="G402" s="7">
        <v>160.22</v>
      </c>
      <c r="H402" s="3" t="s">
        <v>2733</v>
      </c>
      <c r="I402" s="3" t="s">
        <v>3065</v>
      </c>
      <c r="J402" s="3" t="s">
        <v>3072</v>
      </c>
      <c r="K402" s="3" t="s">
        <v>3475</v>
      </c>
      <c r="L402" s="3">
        <v>9</v>
      </c>
      <c r="M402" s="10" t="s">
        <v>4277</v>
      </c>
      <c r="N402" s="3" t="s">
        <v>4278</v>
      </c>
      <c r="O402" s="7">
        <v>640.88</v>
      </c>
      <c r="P402" s="3">
        <f t="shared" si="14"/>
        <v>640.88</v>
      </c>
    </row>
    <row r="403" spans="1:16" x14ac:dyDescent="0.35">
      <c r="A403" t="s">
        <v>415</v>
      </c>
      <c r="B403" s="5">
        <v>45756</v>
      </c>
      <c r="C403" t="s">
        <v>1615</v>
      </c>
      <c r="D403" s="1" t="str">
        <f t="shared" si="13"/>
        <v>Printer</v>
      </c>
      <c r="E403" t="s">
        <v>2407</v>
      </c>
      <c r="F403">
        <v>1</v>
      </c>
      <c r="G403" s="7">
        <v>538.67999999999995</v>
      </c>
      <c r="H403" s="3" t="s">
        <v>2713</v>
      </c>
      <c r="I403" s="3" t="s">
        <v>3065</v>
      </c>
      <c r="J403" s="3" t="s">
        <v>3072</v>
      </c>
      <c r="K403" s="3" t="s">
        <v>3476</v>
      </c>
      <c r="L403" s="3">
        <v>6</v>
      </c>
      <c r="N403" s="3" t="s">
        <v>4279</v>
      </c>
      <c r="O403" s="7">
        <v>538.67999999999995</v>
      </c>
      <c r="P403" s="3">
        <f t="shared" si="14"/>
        <v>538.67999999999995</v>
      </c>
    </row>
    <row r="404" spans="1:16" x14ac:dyDescent="0.35">
      <c r="A404" t="s">
        <v>416</v>
      </c>
      <c r="B404" s="5">
        <v>45025</v>
      </c>
      <c r="C404" t="s">
        <v>1616</v>
      </c>
      <c r="D404" s="1" t="str">
        <f t="shared" si="13"/>
        <v>Tablet</v>
      </c>
      <c r="E404" t="s">
        <v>2407</v>
      </c>
      <c r="F404">
        <v>5</v>
      </c>
      <c r="G404" s="7">
        <v>337.38</v>
      </c>
      <c r="H404" s="3" t="s">
        <v>2734</v>
      </c>
      <c r="I404" s="3" t="s">
        <v>3068</v>
      </c>
      <c r="J404" s="3" t="s">
        <v>3070</v>
      </c>
      <c r="K404" s="3" t="s">
        <v>3477</v>
      </c>
      <c r="L404" s="3">
        <v>5</v>
      </c>
      <c r="N404" s="3" t="s">
        <v>4279</v>
      </c>
      <c r="O404" s="7">
        <v>1686.9</v>
      </c>
      <c r="P404" s="3">
        <f t="shared" si="14"/>
        <v>1686.9</v>
      </c>
    </row>
    <row r="405" spans="1:16" x14ac:dyDescent="0.35">
      <c r="A405" t="s">
        <v>417</v>
      </c>
      <c r="B405" s="5">
        <v>45606</v>
      </c>
      <c r="C405" t="s">
        <v>1617</v>
      </c>
      <c r="D405" s="1" t="str">
        <f t="shared" si="13"/>
        <v>Monitor</v>
      </c>
      <c r="E405" t="s">
        <v>2405</v>
      </c>
      <c r="F405">
        <v>1</v>
      </c>
      <c r="G405" s="7">
        <v>620.21</v>
      </c>
      <c r="H405" s="3" t="s">
        <v>2650</v>
      </c>
      <c r="I405" s="3" t="s">
        <v>3066</v>
      </c>
      <c r="J405" s="3" t="s">
        <v>3072</v>
      </c>
      <c r="K405" s="3" t="s">
        <v>3478</v>
      </c>
      <c r="L405" s="3">
        <v>1</v>
      </c>
      <c r="M405" s="10" t="s">
        <v>4276</v>
      </c>
      <c r="N405" s="3" t="s">
        <v>4279</v>
      </c>
      <c r="O405" s="7">
        <v>620.21</v>
      </c>
      <c r="P405" s="3">
        <f t="shared" si="14"/>
        <v>620.21</v>
      </c>
    </row>
    <row r="406" spans="1:16" x14ac:dyDescent="0.35">
      <c r="A406" t="s">
        <v>418</v>
      </c>
      <c r="B406" s="5">
        <v>44994</v>
      </c>
      <c r="C406" t="s">
        <v>1618</v>
      </c>
      <c r="D406" s="1" t="str">
        <f t="shared" si="13"/>
        <v>Monitor</v>
      </c>
      <c r="E406" t="s">
        <v>2403</v>
      </c>
      <c r="F406">
        <v>2</v>
      </c>
      <c r="G406" s="7">
        <v>99.1</v>
      </c>
      <c r="H406" s="3" t="s">
        <v>2473</v>
      </c>
      <c r="I406" s="3" t="s">
        <v>3069</v>
      </c>
      <c r="J406" s="3" t="s">
        <v>3073</v>
      </c>
      <c r="K406" s="3" t="s">
        <v>3479</v>
      </c>
      <c r="L406" s="3">
        <v>6</v>
      </c>
      <c r="N406" s="3" t="s">
        <v>4278</v>
      </c>
      <c r="O406" s="7">
        <v>198.2</v>
      </c>
      <c r="P406" s="3">
        <f t="shared" si="14"/>
        <v>198.2</v>
      </c>
    </row>
    <row r="407" spans="1:16" x14ac:dyDescent="0.35">
      <c r="A407" t="s">
        <v>419</v>
      </c>
      <c r="B407" s="5">
        <v>45683</v>
      </c>
      <c r="C407" t="s">
        <v>1619</v>
      </c>
      <c r="D407" s="1" t="str">
        <f t="shared" si="13"/>
        <v>Tablet</v>
      </c>
      <c r="E407" t="s">
        <v>2403</v>
      </c>
      <c r="F407">
        <v>4</v>
      </c>
      <c r="G407" s="7">
        <v>451.97</v>
      </c>
      <c r="H407" s="3" t="s">
        <v>2715</v>
      </c>
      <c r="I407" s="3" t="s">
        <v>3066</v>
      </c>
      <c r="J407" s="3" t="s">
        <v>3071</v>
      </c>
      <c r="K407" s="3" t="s">
        <v>3480</v>
      </c>
      <c r="L407" s="3">
        <v>7</v>
      </c>
      <c r="M407" s="10" t="s">
        <v>4277</v>
      </c>
      <c r="N407" s="3" t="s">
        <v>4280</v>
      </c>
      <c r="O407" s="7">
        <v>1807.88</v>
      </c>
      <c r="P407" s="3">
        <f t="shared" si="14"/>
        <v>1807.88</v>
      </c>
    </row>
    <row r="408" spans="1:16" x14ac:dyDescent="0.35">
      <c r="A408" t="s">
        <v>420</v>
      </c>
      <c r="B408" s="5">
        <v>45270</v>
      </c>
      <c r="C408" t="s">
        <v>1620</v>
      </c>
      <c r="D408" s="1" t="str">
        <f t="shared" si="13"/>
        <v>Tablet</v>
      </c>
      <c r="E408" t="s">
        <v>2405</v>
      </c>
      <c r="F408">
        <v>4</v>
      </c>
      <c r="G408" s="7">
        <v>66.099999999999994</v>
      </c>
      <c r="H408" s="3" t="s">
        <v>2577</v>
      </c>
      <c r="I408" s="3" t="s">
        <v>3069</v>
      </c>
      <c r="J408" s="3" t="s">
        <v>3072</v>
      </c>
      <c r="K408" s="3" t="s">
        <v>3481</v>
      </c>
      <c r="L408" s="3">
        <v>9</v>
      </c>
      <c r="M408" s="10" t="s">
        <v>4277</v>
      </c>
      <c r="N408" s="3" t="s">
        <v>4282</v>
      </c>
      <c r="O408" s="7">
        <v>264.39999999999998</v>
      </c>
      <c r="P408" s="3">
        <f t="shared" si="14"/>
        <v>264.39999999999998</v>
      </c>
    </row>
    <row r="409" spans="1:16" x14ac:dyDescent="0.35">
      <c r="A409" t="s">
        <v>421</v>
      </c>
      <c r="B409" s="5">
        <v>45151</v>
      </c>
      <c r="C409" t="s">
        <v>1621</v>
      </c>
      <c r="D409" s="1" t="str">
        <f t="shared" si="13"/>
        <v>Printer</v>
      </c>
      <c r="E409" t="s">
        <v>2405</v>
      </c>
      <c r="F409">
        <v>4</v>
      </c>
      <c r="G409" s="7">
        <v>547.32000000000005</v>
      </c>
      <c r="H409" s="3" t="s">
        <v>2634</v>
      </c>
      <c r="I409" s="3" t="s">
        <v>3069</v>
      </c>
      <c r="J409" s="3" t="s">
        <v>3072</v>
      </c>
      <c r="K409" s="3" t="s">
        <v>3482</v>
      </c>
      <c r="L409" s="3">
        <v>8</v>
      </c>
      <c r="M409" s="10" t="s">
        <v>4276</v>
      </c>
      <c r="N409" s="3" t="s">
        <v>4278</v>
      </c>
      <c r="O409" s="7">
        <v>2189.2800000000002</v>
      </c>
      <c r="P409" s="3">
        <f t="shared" si="14"/>
        <v>2189.2800000000002</v>
      </c>
    </row>
    <row r="410" spans="1:16" x14ac:dyDescent="0.35">
      <c r="A410" t="s">
        <v>422</v>
      </c>
      <c r="B410" s="5">
        <v>45658</v>
      </c>
      <c r="C410" t="s">
        <v>1622</v>
      </c>
      <c r="D410" s="1" t="str">
        <f t="shared" si="13"/>
        <v>Desk</v>
      </c>
      <c r="E410" t="s">
        <v>2407</v>
      </c>
      <c r="F410">
        <v>3</v>
      </c>
      <c r="G410" s="7">
        <v>412.53</v>
      </c>
      <c r="H410" s="3" t="s">
        <v>2735</v>
      </c>
      <c r="I410" s="3" t="s">
        <v>3066</v>
      </c>
      <c r="J410" s="3" t="s">
        <v>3074</v>
      </c>
      <c r="K410" s="3" t="s">
        <v>3483</v>
      </c>
      <c r="L410" s="3">
        <v>6</v>
      </c>
      <c r="M410" s="10" t="s">
        <v>4277</v>
      </c>
      <c r="N410" s="3" t="s">
        <v>4282</v>
      </c>
      <c r="O410" s="7">
        <v>1237.5899999999999</v>
      </c>
      <c r="P410" s="3">
        <f t="shared" si="14"/>
        <v>1237.5899999999999</v>
      </c>
    </row>
    <row r="411" spans="1:16" x14ac:dyDescent="0.35">
      <c r="A411" t="s">
        <v>423</v>
      </c>
      <c r="B411" s="5">
        <v>45105</v>
      </c>
      <c r="C411" t="s">
        <v>1623</v>
      </c>
      <c r="D411" s="1" t="str">
        <f t="shared" si="13"/>
        <v>Tablet</v>
      </c>
      <c r="E411" t="s">
        <v>2409</v>
      </c>
      <c r="F411">
        <v>5</v>
      </c>
      <c r="G411" s="7">
        <v>84.13</v>
      </c>
      <c r="H411" s="3" t="s">
        <v>2736</v>
      </c>
      <c r="I411" s="3" t="s">
        <v>3066</v>
      </c>
      <c r="J411" s="3" t="s">
        <v>3073</v>
      </c>
      <c r="K411" s="3" t="s">
        <v>3484</v>
      </c>
      <c r="L411" s="3">
        <v>9</v>
      </c>
      <c r="M411" s="10" t="s">
        <v>4275</v>
      </c>
      <c r="N411" s="3" t="s">
        <v>4282</v>
      </c>
      <c r="O411" s="7">
        <v>420.65</v>
      </c>
      <c r="P411" s="3">
        <f t="shared" si="14"/>
        <v>420.65</v>
      </c>
    </row>
    <row r="412" spans="1:16" x14ac:dyDescent="0.35">
      <c r="A412" t="s">
        <v>424</v>
      </c>
      <c r="B412" s="5">
        <v>45309</v>
      </c>
      <c r="C412" t="s">
        <v>1624</v>
      </c>
      <c r="D412" s="1" t="str">
        <f t="shared" si="13"/>
        <v>Desk</v>
      </c>
      <c r="E412" t="s">
        <v>2405</v>
      </c>
      <c r="F412">
        <v>2</v>
      </c>
      <c r="G412" s="7">
        <v>518.23</v>
      </c>
      <c r="H412" s="3" t="s">
        <v>2737</v>
      </c>
      <c r="I412" s="3" t="s">
        <v>3065</v>
      </c>
      <c r="J412" s="3" t="s">
        <v>3070</v>
      </c>
      <c r="K412" s="3" t="s">
        <v>3485</v>
      </c>
      <c r="L412" s="3">
        <v>5</v>
      </c>
      <c r="N412" s="3" t="s">
        <v>4280</v>
      </c>
      <c r="O412" s="7">
        <v>1036.46</v>
      </c>
      <c r="P412" s="3">
        <f t="shared" si="14"/>
        <v>1036.46</v>
      </c>
    </row>
    <row r="413" spans="1:16" x14ac:dyDescent="0.35">
      <c r="A413" t="s">
        <v>425</v>
      </c>
      <c r="B413" s="5">
        <v>45462</v>
      </c>
      <c r="C413" t="s">
        <v>1625</v>
      </c>
      <c r="D413" s="1" t="str">
        <f t="shared" si="13"/>
        <v>Tablet</v>
      </c>
      <c r="E413" t="s">
        <v>2409</v>
      </c>
      <c r="F413">
        <v>2</v>
      </c>
      <c r="G413" s="7">
        <v>39.51</v>
      </c>
      <c r="H413" s="3" t="s">
        <v>2549</v>
      </c>
      <c r="I413" s="3" t="s">
        <v>3066</v>
      </c>
      <c r="J413" s="3" t="s">
        <v>3070</v>
      </c>
      <c r="K413" s="3" t="s">
        <v>3486</v>
      </c>
      <c r="L413" s="3">
        <v>5</v>
      </c>
      <c r="N413" s="3" t="s">
        <v>4281</v>
      </c>
      <c r="O413" s="7">
        <v>79.02</v>
      </c>
      <c r="P413" s="3">
        <f t="shared" si="14"/>
        <v>79.02</v>
      </c>
    </row>
    <row r="414" spans="1:16" x14ac:dyDescent="0.35">
      <c r="A414" t="s">
        <v>426</v>
      </c>
      <c r="B414" s="5">
        <v>45758</v>
      </c>
      <c r="C414" t="s">
        <v>1626</v>
      </c>
      <c r="D414" s="1" t="str">
        <f t="shared" si="13"/>
        <v>Tablet</v>
      </c>
      <c r="E414" t="s">
        <v>2405</v>
      </c>
      <c r="F414">
        <v>5</v>
      </c>
      <c r="G414" s="7">
        <v>133.01</v>
      </c>
      <c r="H414" s="3" t="s">
        <v>2738</v>
      </c>
      <c r="I414" s="3" t="s">
        <v>3067</v>
      </c>
      <c r="J414" s="3" t="s">
        <v>3072</v>
      </c>
      <c r="K414" s="3" t="s">
        <v>3487</v>
      </c>
      <c r="L414" s="3">
        <v>10</v>
      </c>
      <c r="N414" s="3" t="s">
        <v>4281</v>
      </c>
      <c r="O414" s="7">
        <v>665.05</v>
      </c>
      <c r="P414" s="3">
        <f t="shared" si="14"/>
        <v>665.05</v>
      </c>
    </row>
    <row r="415" spans="1:16" x14ac:dyDescent="0.35">
      <c r="A415" t="s">
        <v>427</v>
      </c>
      <c r="B415" s="5">
        <v>45207</v>
      </c>
      <c r="C415" t="s">
        <v>1627</v>
      </c>
      <c r="D415" s="1" t="str">
        <f t="shared" si="13"/>
        <v>Desk</v>
      </c>
      <c r="E415" t="s">
        <v>2405</v>
      </c>
      <c r="F415">
        <v>1</v>
      </c>
      <c r="G415" s="7">
        <v>118.8</v>
      </c>
      <c r="H415" s="3" t="s">
        <v>2739</v>
      </c>
      <c r="I415" s="3" t="s">
        <v>3066</v>
      </c>
      <c r="J415" s="3" t="s">
        <v>3073</v>
      </c>
      <c r="K415" s="3" t="s">
        <v>3488</v>
      </c>
      <c r="L415" s="3">
        <v>6</v>
      </c>
      <c r="M415" s="10" t="s">
        <v>4275</v>
      </c>
      <c r="N415" s="3" t="s">
        <v>4280</v>
      </c>
      <c r="O415" s="7">
        <v>118.8</v>
      </c>
      <c r="P415" s="3">
        <f t="shared" si="14"/>
        <v>118.8</v>
      </c>
    </row>
    <row r="416" spans="1:16" x14ac:dyDescent="0.35">
      <c r="A416" t="s">
        <v>428</v>
      </c>
      <c r="B416" s="5">
        <v>45781</v>
      </c>
      <c r="C416" t="s">
        <v>1628</v>
      </c>
      <c r="D416" s="1" t="str">
        <f t="shared" si="13"/>
        <v>Chair</v>
      </c>
      <c r="E416" t="s">
        <v>2409</v>
      </c>
      <c r="F416">
        <v>2</v>
      </c>
      <c r="G416" s="7">
        <v>139.57</v>
      </c>
      <c r="H416" s="3" t="s">
        <v>2740</v>
      </c>
      <c r="I416" s="3" t="s">
        <v>3069</v>
      </c>
      <c r="J416" s="3" t="s">
        <v>3073</v>
      </c>
      <c r="K416" s="3" t="s">
        <v>3489</v>
      </c>
      <c r="L416" s="3">
        <v>4</v>
      </c>
      <c r="M416" s="10" t="s">
        <v>4277</v>
      </c>
      <c r="N416" s="3" t="s">
        <v>4281</v>
      </c>
      <c r="O416" s="7">
        <v>279.14</v>
      </c>
      <c r="P416" s="3">
        <f t="shared" si="14"/>
        <v>279.14</v>
      </c>
    </row>
    <row r="417" spans="1:16" x14ac:dyDescent="0.35">
      <c r="A417" t="s">
        <v>429</v>
      </c>
      <c r="B417" s="5">
        <v>45753</v>
      </c>
      <c r="C417" t="s">
        <v>1629</v>
      </c>
      <c r="D417" s="1" t="str">
        <f t="shared" si="13"/>
        <v>Laptop</v>
      </c>
      <c r="E417" t="s">
        <v>2406</v>
      </c>
      <c r="F417">
        <v>1</v>
      </c>
      <c r="G417" s="7">
        <v>184.15</v>
      </c>
      <c r="H417" s="3" t="s">
        <v>2639</v>
      </c>
      <c r="I417" s="3" t="s">
        <v>3068</v>
      </c>
      <c r="J417" s="3" t="s">
        <v>3070</v>
      </c>
      <c r="K417" s="3" t="s">
        <v>3490</v>
      </c>
      <c r="L417" s="3">
        <v>5</v>
      </c>
      <c r="M417" s="10" t="s">
        <v>4276</v>
      </c>
      <c r="N417" s="3" t="s">
        <v>4281</v>
      </c>
      <c r="O417" s="7">
        <v>184.15</v>
      </c>
      <c r="P417" s="3">
        <f t="shared" si="14"/>
        <v>184.15</v>
      </c>
    </row>
    <row r="418" spans="1:16" x14ac:dyDescent="0.35">
      <c r="A418" t="s">
        <v>430</v>
      </c>
      <c r="B418" s="5">
        <v>45125</v>
      </c>
      <c r="C418" t="s">
        <v>1630</v>
      </c>
      <c r="D418" s="1" t="str">
        <f t="shared" si="13"/>
        <v>Laptop</v>
      </c>
      <c r="E418" t="s">
        <v>2408</v>
      </c>
      <c r="F418">
        <v>2</v>
      </c>
      <c r="G418" s="7">
        <v>644.04999999999995</v>
      </c>
      <c r="H418" s="3" t="s">
        <v>2741</v>
      </c>
      <c r="I418" s="3" t="s">
        <v>3068</v>
      </c>
      <c r="J418" s="3" t="s">
        <v>3071</v>
      </c>
      <c r="K418" s="3" t="s">
        <v>3491</v>
      </c>
      <c r="L418" s="3">
        <v>5</v>
      </c>
      <c r="M418" s="10" t="s">
        <v>4277</v>
      </c>
      <c r="N418" s="3" t="s">
        <v>4279</v>
      </c>
      <c r="O418" s="7">
        <v>1288.0999999999999</v>
      </c>
      <c r="P418" s="3">
        <f t="shared" si="14"/>
        <v>1288.0999999999999</v>
      </c>
    </row>
    <row r="419" spans="1:16" x14ac:dyDescent="0.35">
      <c r="A419" t="s">
        <v>431</v>
      </c>
      <c r="B419" s="5">
        <v>45223</v>
      </c>
      <c r="C419" t="s">
        <v>1631</v>
      </c>
      <c r="D419" s="1" t="str">
        <f t="shared" si="13"/>
        <v>Printer</v>
      </c>
      <c r="E419" t="s">
        <v>2408</v>
      </c>
      <c r="F419">
        <v>5</v>
      </c>
      <c r="G419" s="7">
        <v>55.41</v>
      </c>
      <c r="H419" s="3" t="s">
        <v>2742</v>
      </c>
      <c r="I419" s="3" t="s">
        <v>3066</v>
      </c>
      <c r="J419" s="3" t="s">
        <v>3071</v>
      </c>
      <c r="K419" s="3" t="s">
        <v>3492</v>
      </c>
      <c r="L419" s="3">
        <v>5</v>
      </c>
      <c r="N419" s="3" t="s">
        <v>4282</v>
      </c>
      <c r="O419" s="7">
        <v>277.05</v>
      </c>
      <c r="P419" s="3">
        <f t="shared" si="14"/>
        <v>277.04999999999995</v>
      </c>
    </row>
    <row r="420" spans="1:16" x14ac:dyDescent="0.35">
      <c r="A420" t="s">
        <v>432</v>
      </c>
      <c r="B420" s="5">
        <v>44937</v>
      </c>
      <c r="C420" t="s">
        <v>1632</v>
      </c>
      <c r="D420" s="1" t="str">
        <f t="shared" si="13"/>
        <v>Tablet</v>
      </c>
      <c r="E420" t="s">
        <v>2407</v>
      </c>
      <c r="F420">
        <v>1</v>
      </c>
      <c r="G420" s="7">
        <v>310.93</v>
      </c>
      <c r="H420" s="3" t="s">
        <v>2743</v>
      </c>
      <c r="I420" s="3" t="s">
        <v>3066</v>
      </c>
      <c r="J420" s="3" t="s">
        <v>3071</v>
      </c>
      <c r="K420" s="3" t="s">
        <v>3493</v>
      </c>
      <c r="L420" s="3">
        <v>3</v>
      </c>
      <c r="N420" s="3" t="s">
        <v>4281</v>
      </c>
      <c r="O420" s="7">
        <v>310.93</v>
      </c>
      <c r="P420" s="3">
        <f t="shared" si="14"/>
        <v>310.93</v>
      </c>
    </row>
    <row r="421" spans="1:16" x14ac:dyDescent="0.35">
      <c r="A421" t="s">
        <v>433</v>
      </c>
      <c r="B421" s="5">
        <v>45399</v>
      </c>
      <c r="C421" t="s">
        <v>1633</v>
      </c>
      <c r="D421" s="1" t="str">
        <f t="shared" si="13"/>
        <v>Phone</v>
      </c>
      <c r="E421" t="s">
        <v>2405</v>
      </c>
      <c r="F421">
        <v>2</v>
      </c>
      <c r="G421" s="7">
        <v>216.66</v>
      </c>
      <c r="H421" s="3" t="s">
        <v>2701</v>
      </c>
      <c r="I421" s="3" t="s">
        <v>3065</v>
      </c>
      <c r="J421" s="3" t="s">
        <v>3074</v>
      </c>
      <c r="K421" s="3" t="s">
        <v>3494</v>
      </c>
      <c r="L421" s="3">
        <v>6</v>
      </c>
      <c r="M421" s="10" t="s">
        <v>4276</v>
      </c>
      <c r="N421" s="3" t="s">
        <v>4278</v>
      </c>
      <c r="O421" s="7">
        <v>433.32</v>
      </c>
      <c r="P421" s="3">
        <f t="shared" si="14"/>
        <v>433.32</v>
      </c>
    </row>
    <row r="422" spans="1:16" x14ac:dyDescent="0.35">
      <c r="A422" t="s">
        <v>434</v>
      </c>
      <c r="B422" s="5">
        <v>45625</v>
      </c>
      <c r="C422" t="s">
        <v>1634</v>
      </c>
      <c r="D422" s="1" t="str">
        <f t="shared" si="13"/>
        <v>Chair</v>
      </c>
      <c r="E422" t="s">
        <v>2404</v>
      </c>
      <c r="F422">
        <v>1</v>
      </c>
      <c r="G422" s="7">
        <v>452.7</v>
      </c>
      <c r="H422" s="3" t="s">
        <v>2744</v>
      </c>
      <c r="I422" s="3" t="s">
        <v>3065</v>
      </c>
      <c r="J422" s="3" t="s">
        <v>3070</v>
      </c>
      <c r="K422" s="3" t="s">
        <v>3495</v>
      </c>
      <c r="L422" s="3">
        <v>5</v>
      </c>
      <c r="M422" s="10" t="s">
        <v>4276</v>
      </c>
      <c r="N422" s="3" t="s">
        <v>4278</v>
      </c>
      <c r="O422" s="7">
        <v>452.7</v>
      </c>
      <c r="P422" s="3">
        <f t="shared" si="14"/>
        <v>452.7</v>
      </c>
    </row>
    <row r="423" spans="1:16" x14ac:dyDescent="0.35">
      <c r="A423" t="s">
        <v>435</v>
      </c>
      <c r="B423" s="5">
        <v>45214</v>
      </c>
      <c r="C423" t="s">
        <v>1635</v>
      </c>
      <c r="D423" s="1" t="str">
        <f t="shared" si="13"/>
        <v>Phone</v>
      </c>
      <c r="E423" t="s">
        <v>2406</v>
      </c>
      <c r="F423">
        <v>2</v>
      </c>
      <c r="G423" s="7">
        <v>288.20999999999998</v>
      </c>
      <c r="H423" s="3" t="s">
        <v>2745</v>
      </c>
      <c r="I423" s="3" t="s">
        <v>3065</v>
      </c>
      <c r="J423" s="3" t="s">
        <v>3071</v>
      </c>
      <c r="K423" s="3" t="s">
        <v>3496</v>
      </c>
      <c r="L423" s="3">
        <v>5</v>
      </c>
      <c r="N423" s="3" t="s">
        <v>4280</v>
      </c>
      <c r="O423" s="7">
        <v>576.41999999999996</v>
      </c>
      <c r="P423" s="3">
        <f t="shared" si="14"/>
        <v>576.41999999999996</v>
      </c>
    </row>
    <row r="424" spans="1:16" x14ac:dyDescent="0.35">
      <c r="A424" t="s">
        <v>436</v>
      </c>
      <c r="B424" s="5">
        <v>45082</v>
      </c>
      <c r="C424" t="s">
        <v>1636</v>
      </c>
      <c r="D424" s="1" t="str">
        <f t="shared" si="13"/>
        <v>Printer</v>
      </c>
      <c r="E424" t="s">
        <v>2404</v>
      </c>
      <c r="F424">
        <v>4</v>
      </c>
      <c r="G424" s="7">
        <v>206.6</v>
      </c>
      <c r="H424" s="3" t="s">
        <v>2426</v>
      </c>
      <c r="I424" s="3" t="s">
        <v>3068</v>
      </c>
      <c r="J424" s="3" t="s">
        <v>3072</v>
      </c>
      <c r="K424" s="3" t="s">
        <v>3497</v>
      </c>
      <c r="L424" s="3">
        <v>6</v>
      </c>
      <c r="M424" s="10" t="s">
        <v>4277</v>
      </c>
      <c r="N424" s="3" t="s">
        <v>4279</v>
      </c>
      <c r="O424" s="7">
        <v>826.4</v>
      </c>
      <c r="P424" s="3">
        <f t="shared" si="14"/>
        <v>826.4</v>
      </c>
    </row>
    <row r="425" spans="1:16" x14ac:dyDescent="0.35">
      <c r="A425" t="s">
        <v>437</v>
      </c>
      <c r="B425" s="5">
        <v>45493</v>
      </c>
      <c r="C425" t="s">
        <v>1637</v>
      </c>
      <c r="D425" s="1" t="str">
        <f t="shared" si="13"/>
        <v>Chair</v>
      </c>
      <c r="E425" t="s">
        <v>2407</v>
      </c>
      <c r="F425">
        <v>4</v>
      </c>
      <c r="G425" s="7">
        <v>685.2</v>
      </c>
      <c r="H425" s="3" t="s">
        <v>2651</v>
      </c>
      <c r="I425" s="3" t="s">
        <v>3068</v>
      </c>
      <c r="J425" s="3" t="s">
        <v>3071</v>
      </c>
      <c r="K425" s="3" t="s">
        <v>3498</v>
      </c>
      <c r="L425" s="3">
        <v>6</v>
      </c>
      <c r="M425" s="10" t="s">
        <v>4277</v>
      </c>
      <c r="N425" s="3" t="s">
        <v>4282</v>
      </c>
      <c r="O425" s="7">
        <v>2740.8</v>
      </c>
      <c r="P425" s="3">
        <f t="shared" si="14"/>
        <v>2740.8</v>
      </c>
    </row>
    <row r="426" spans="1:16" x14ac:dyDescent="0.35">
      <c r="A426" t="s">
        <v>438</v>
      </c>
      <c r="B426" s="5">
        <v>45028</v>
      </c>
      <c r="C426" t="s">
        <v>1638</v>
      </c>
      <c r="D426" s="1" t="str">
        <f t="shared" si="13"/>
        <v>Laptop</v>
      </c>
      <c r="E426" t="s">
        <v>2406</v>
      </c>
      <c r="F426">
        <v>5</v>
      </c>
      <c r="G426" s="7">
        <v>22.94</v>
      </c>
      <c r="H426" s="3" t="s">
        <v>2678</v>
      </c>
      <c r="I426" s="3" t="s">
        <v>3069</v>
      </c>
      <c r="J426" s="3" t="s">
        <v>3074</v>
      </c>
      <c r="K426" s="3" t="s">
        <v>3499</v>
      </c>
      <c r="L426" s="3">
        <v>10</v>
      </c>
      <c r="N426" s="3" t="s">
        <v>4280</v>
      </c>
      <c r="O426" s="7">
        <v>114.7</v>
      </c>
      <c r="P426" s="3">
        <f t="shared" si="14"/>
        <v>114.7</v>
      </c>
    </row>
    <row r="427" spans="1:16" x14ac:dyDescent="0.35">
      <c r="A427" t="s">
        <v>439</v>
      </c>
      <c r="B427" s="5">
        <v>44994</v>
      </c>
      <c r="C427" t="s">
        <v>1639</v>
      </c>
      <c r="D427" s="1" t="str">
        <f t="shared" si="13"/>
        <v>Monitor</v>
      </c>
      <c r="E427" t="s">
        <v>2408</v>
      </c>
      <c r="F427">
        <v>2</v>
      </c>
      <c r="G427" s="7">
        <v>301.88</v>
      </c>
      <c r="H427" s="3" t="s">
        <v>2746</v>
      </c>
      <c r="I427" s="3" t="s">
        <v>3068</v>
      </c>
      <c r="J427" s="3" t="s">
        <v>3072</v>
      </c>
      <c r="K427" s="3" t="s">
        <v>3500</v>
      </c>
      <c r="L427" s="3">
        <v>5</v>
      </c>
      <c r="M427" s="10" t="s">
        <v>4277</v>
      </c>
      <c r="N427" s="3" t="s">
        <v>4280</v>
      </c>
      <c r="O427" s="7">
        <v>603.76</v>
      </c>
      <c r="P427" s="3">
        <f t="shared" si="14"/>
        <v>603.76</v>
      </c>
    </row>
    <row r="428" spans="1:16" x14ac:dyDescent="0.35">
      <c r="A428" t="s">
        <v>440</v>
      </c>
      <c r="B428" s="5">
        <v>45732</v>
      </c>
      <c r="C428" t="s">
        <v>1640</v>
      </c>
      <c r="D428" s="1" t="str">
        <f t="shared" si="13"/>
        <v>Desk</v>
      </c>
      <c r="E428" t="s">
        <v>2403</v>
      </c>
      <c r="F428">
        <v>5</v>
      </c>
      <c r="G428" s="7">
        <v>57.45</v>
      </c>
      <c r="H428" s="3" t="s">
        <v>2747</v>
      </c>
      <c r="I428" s="3" t="s">
        <v>3069</v>
      </c>
      <c r="J428" s="3" t="s">
        <v>3071</v>
      </c>
      <c r="K428" s="3" t="s">
        <v>3501</v>
      </c>
      <c r="L428" s="3">
        <v>10</v>
      </c>
      <c r="N428" s="3" t="s">
        <v>4281</v>
      </c>
      <c r="O428" s="7">
        <v>287.25</v>
      </c>
      <c r="P428" s="3">
        <f t="shared" si="14"/>
        <v>287.25</v>
      </c>
    </row>
    <row r="429" spans="1:16" x14ac:dyDescent="0.35">
      <c r="A429" t="s">
        <v>441</v>
      </c>
      <c r="B429" s="5">
        <v>45644</v>
      </c>
      <c r="C429" t="s">
        <v>1641</v>
      </c>
      <c r="D429" s="1" t="str">
        <f t="shared" si="13"/>
        <v>Chair</v>
      </c>
      <c r="E429" t="s">
        <v>2409</v>
      </c>
      <c r="F429">
        <v>1</v>
      </c>
      <c r="G429" s="7">
        <v>161.24</v>
      </c>
      <c r="H429" s="3" t="s">
        <v>2748</v>
      </c>
      <c r="I429" s="3" t="s">
        <v>3067</v>
      </c>
      <c r="J429" s="3" t="s">
        <v>3074</v>
      </c>
      <c r="K429" s="3" t="s">
        <v>3502</v>
      </c>
      <c r="L429" s="3">
        <v>3</v>
      </c>
      <c r="M429" s="10" t="s">
        <v>4277</v>
      </c>
      <c r="N429" s="3" t="s">
        <v>4278</v>
      </c>
      <c r="O429" s="7">
        <v>161.24</v>
      </c>
      <c r="P429" s="3">
        <f t="shared" si="14"/>
        <v>161.24</v>
      </c>
    </row>
    <row r="430" spans="1:16" x14ac:dyDescent="0.35">
      <c r="A430" t="s">
        <v>442</v>
      </c>
      <c r="B430" s="5">
        <v>45622</v>
      </c>
      <c r="C430" t="s">
        <v>1642</v>
      </c>
      <c r="D430" s="1" t="str">
        <f t="shared" si="13"/>
        <v>Printer</v>
      </c>
      <c r="E430" t="s">
        <v>2406</v>
      </c>
      <c r="F430">
        <v>4</v>
      </c>
      <c r="G430" s="7">
        <v>262.58</v>
      </c>
      <c r="H430" s="3" t="s">
        <v>2440</v>
      </c>
      <c r="I430" s="3" t="s">
        <v>3066</v>
      </c>
      <c r="J430" s="3" t="s">
        <v>3071</v>
      </c>
      <c r="K430" s="3" t="s">
        <v>3503</v>
      </c>
      <c r="L430" s="3">
        <v>8</v>
      </c>
      <c r="M430" s="10" t="s">
        <v>4277</v>
      </c>
      <c r="N430" s="3" t="s">
        <v>4280</v>
      </c>
      <c r="O430" s="7">
        <v>1050.32</v>
      </c>
      <c r="P430" s="3">
        <f t="shared" si="14"/>
        <v>1050.32</v>
      </c>
    </row>
    <row r="431" spans="1:16" x14ac:dyDescent="0.35">
      <c r="A431" t="s">
        <v>443</v>
      </c>
      <c r="B431" s="5">
        <v>45645</v>
      </c>
      <c r="C431" t="s">
        <v>1643</v>
      </c>
      <c r="D431" s="1" t="str">
        <f t="shared" si="13"/>
        <v>Phone</v>
      </c>
      <c r="E431" t="s">
        <v>2407</v>
      </c>
      <c r="F431">
        <v>4</v>
      </c>
      <c r="G431" s="7">
        <v>515.19000000000005</v>
      </c>
      <c r="H431" s="3" t="s">
        <v>2511</v>
      </c>
      <c r="I431" s="3" t="s">
        <v>3067</v>
      </c>
      <c r="J431" s="3" t="s">
        <v>3074</v>
      </c>
      <c r="K431" s="3" t="s">
        <v>3504</v>
      </c>
      <c r="L431" s="3">
        <v>9</v>
      </c>
      <c r="M431" s="10" t="s">
        <v>4275</v>
      </c>
      <c r="N431" s="3" t="s">
        <v>4281</v>
      </c>
      <c r="O431" s="7">
        <v>2060.7600000000002</v>
      </c>
      <c r="P431" s="3">
        <f t="shared" si="14"/>
        <v>2060.7600000000002</v>
      </c>
    </row>
    <row r="432" spans="1:16" x14ac:dyDescent="0.35">
      <c r="A432" t="s">
        <v>444</v>
      </c>
      <c r="B432" s="5">
        <v>45084</v>
      </c>
      <c r="C432" t="s">
        <v>1644</v>
      </c>
      <c r="D432" s="1" t="str">
        <f t="shared" si="13"/>
        <v>Printer</v>
      </c>
      <c r="E432" t="s">
        <v>2404</v>
      </c>
      <c r="F432">
        <v>1</v>
      </c>
      <c r="G432" s="7">
        <v>450.07</v>
      </c>
      <c r="H432" s="3" t="s">
        <v>2749</v>
      </c>
      <c r="I432" s="3" t="s">
        <v>3068</v>
      </c>
      <c r="J432" s="3" t="s">
        <v>3070</v>
      </c>
      <c r="K432" s="3" t="s">
        <v>3505</v>
      </c>
      <c r="L432" s="3">
        <v>6</v>
      </c>
      <c r="M432" s="10" t="s">
        <v>4276</v>
      </c>
      <c r="N432" s="3" t="s">
        <v>4282</v>
      </c>
      <c r="O432" s="7">
        <v>450.07</v>
      </c>
      <c r="P432" s="3">
        <f t="shared" si="14"/>
        <v>450.07</v>
      </c>
    </row>
    <row r="433" spans="1:16" x14ac:dyDescent="0.35">
      <c r="A433" t="s">
        <v>445</v>
      </c>
      <c r="B433" s="5">
        <v>45571</v>
      </c>
      <c r="C433" t="s">
        <v>1645</v>
      </c>
      <c r="D433" s="1" t="str">
        <f t="shared" si="13"/>
        <v>Tablet</v>
      </c>
      <c r="E433" t="s">
        <v>2407</v>
      </c>
      <c r="F433">
        <v>1</v>
      </c>
      <c r="G433" s="7">
        <v>52.54</v>
      </c>
      <c r="H433" s="3" t="s">
        <v>2553</v>
      </c>
      <c r="I433" s="3" t="s">
        <v>3065</v>
      </c>
      <c r="J433" s="3" t="s">
        <v>3071</v>
      </c>
      <c r="K433" s="3" t="s">
        <v>3506</v>
      </c>
      <c r="L433" s="3">
        <v>6</v>
      </c>
      <c r="M433" s="10" t="s">
        <v>4277</v>
      </c>
      <c r="N433" s="3" t="s">
        <v>4281</v>
      </c>
      <c r="O433" s="7">
        <v>52.54</v>
      </c>
      <c r="P433" s="3">
        <f t="shared" si="14"/>
        <v>52.54</v>
      </c>
    </row>
    <row r="434" spans="1:16" x14ac:dyDescent="0.35">
      <c r="A434" t="s">
        <v>446</v>
      </c>
      <c r="B434" s="5">
        <v>45173</v>
      </c>
      <c r="C434" t="s">
        <v>1646</v>
      </c>
      <c r="D434" s="1" t="str">
        <f t="shared" si="13"/>
        <v>Monitor</v>
      </c>
      <c r="E434" t="s">
        <v>2405</v>
      </c>
      <c r="F434">
        <v>2</v>
      </c>
      <c r="G434" s="7">
        <v>424.32</v>
      </c>
      <c r="H434" s="3" t="s">
        <v>2750</v>
      </c>
      <c r="I434" s="3" t="s">
        <v>3067</v>
      </c>
      <c r="J434" s="3" t="s">
        <v>3072</v>
      </c>
      <c r="K434" s="3" t="s">
        <v>3507</v>
      </c>
      <c r="L434" s="3">
        <v>6</v>
      </c>
      <c r="N434" s="3" t="s">
        <v>4279</v>
      </c>
      <c r="O434" s="7">
        <v>848.64</v>
      </c>
      <c r="P434" s="3">
        <f t="shared" si="14"/>
        <v>848.64</v>
      </c>
    </row>
    <row r="435" spans="1:16" x14ac:dyDescent="0.35">
      <c r="A435" t="s">
        <v>447</v>
      </c>
      <c r="B435" s="5">
        <v>45164</v>
      </c>
      <c r="C435" t="s">
        <v>1647</v>
      </c>
      <c r="D435" s="1" t="str">
        <f t="shared" si="13"/>
        <v>Printer</v>
      </c>
      <c r="E435" t="s">
        <v>2403</v>
      </c>
      <c r="F435">
        <v>3</v>
      </c>
      <c r="G435" s="7">
        <v>631.64</v>
      </c>
      <c r="H435" s="3" t="s">
        <v>2624</v>
      </c>
      <c r="I435" s="3" t="s">
        <v>3067</v>
      </c>
      <c r="J435" s="3" t="s">
        <v>3072</v>
      </c>
      <c r="K435" s="3" t="s">
        <v>3508</v>
      </c>
      <c r="L435" s="3">
        <v>3</v>
      </c>
      <c r="M435" s="10" t="s">
        <v>4276</v>
      </c>
      <c r="N435" s="3" t="s">
        <v>4281</v>
      </c>
      <c r="O435" s="7">
        <v>1894.92</v>
      </c>
      <c r="P435" s="3">
        <f t="shared" si="14"/>
        <v>1894.92</v>
      </c>
    </row>
    <row r="436" spans="1:16" x14ac:dyDescent="0.35">
      <c r="A436" t="s">
        <v>448</v>
      </c>
      <c r="B436" s="5">
        <v>45221</v>
      </c>
      <c r="C436" t="s">
        <v>1648</v>
      </c>
      <c r="D436" s="1" t="str">
        <f t="shared" si="13"/>
        <v>Printer</v>
      </c>
      <c r="E436" t="s">
        <v>2407</v>
      </c>
      <c r="F436">
        <v>5</v>
      </c>
      <c r="G436" s="7">
        <v>327.68</v>
      </c>
      <c r="H436" s="3" t="s">
        <v>2475</v>
      </c>
      <c r="I436" s="3" t="s">
        <v>3067</v>
      </c>
      <c r="J436" s="3" t="s">
        <v>3072</v>
      </c>
      <c r="K436" s="3" t="s">
        <v>3509</v>
      </c>
      <c r="L436" s="3">
        <v>6</v>
      </c>
      <c r="N436" s="3" t="s">
        <v>4281</v>
      </c>
      <c r="O436" s="7">
        <v>1638.4</v>
      </c>
      <c r="P436" s="3">
        <f t="shared" si="14"/>
        <v>1638.4</v>
      </c>
    </row>
    <row r="437" spans="1:16" x14ac:dyDescent="0.35">
      <c r="A437" t="s">
        <v>449</v>
      </c>
      <c r="B437" s="5">
        <v>45073</v>
      </c>
      <c r="C437" t="s">
        <v>1649</v>
      </c>
      <c r="D437" s="1" t="str">
        <f t="shared" si="13"/>
        <v>Laptop</v>
      </c>
      <c r="E437" t="s">
        <v>2407</v>
      </c>
      <c r="F437">
        <v>1</v>
      </c>
      <c r="G437" s="7">
        <v>414.47</v>
      </c>
      <c r="H437" s="3" t="s">
        <v>2677</v>
      </c>
      <c r="I437" s="3" t="s">
        <v>3065</v>
      </c>
      <c r="J437" s="3" t="s">
        <v>3072</v>
      </c>
      <c r="K437" s="3" t="s">
        <v>3510</v>
      </c>
      <c r="L437" s="3">
        <v>3</v>
      </c>
      <c r="M437" s="10" t="s">
        <v>4276</v>
      </c>
      <c r="N437" s="3" t="s">
        <v>4278</v>
      </c>
      <c r="O437" s="7">
        <v>414.47</v>
      </c>
      <c r="P437" s="3">
        <f t="shared" si="14"/>
        <v>414.47</v>
      </c>
    </row>
    <row r="438" spans="1:16" x14ac:dyDescent="0.35">
      <c r="A438" t="s">
        <v>450</v>
      </c>
      <c r="B438" s="5">
        <v>44968</v>
      </c>
      <c r="C438" t="s">
        <v>1650</v>
      </c>
      <c r="D438" s="1" t="str">
        <f t="shared" si="13"/>
        <v>Phone</v>
      </c>
      <c r="E438" t="s">
        <v>2408</v>
      </c>
      <c r="F438">
        <v>4</v>
      </c>
      <c r="G438" s="7">
        <v>221.33</v>
      </c>
      <c r="H438" s="3" t="s">
        <v>2553</v>
      </c>
      <c r="I438" s="3" t="s">
        <v>3066</v>
      </c>
      <c r="J438" s="3" t="s">
        <v>3074</v>
      </c>
      <c r="K438" s="3" t="s">
        <v>3511</v>
      </c>
      <c r="L438" s="3">
        <v>5</v>
      </c>
      <c r="N438" s="3" t="s">
        <v>4282</v>
      </c>
      <c r="O438" s="7">
        <v>885.32</v>
      </c>
      <c r="P438" s="3">
        <f t="shared" si="14"/>
        <v>885.32</v>
      </c>
    </row>
    <row r="439" spans="1:16" x14ac:dyDescent="0.35">
      <c r="A439" t="s">
        <v>451</v>
      </c>
      <c r="B439" s="5">
        <v>45400</v>
      </c>
      <c r="C439" t="s">
        <v>1651</v>
      </c>
      <c r="D439" s="1" t="str">
        <f t="shared" si="13"/>
        <v>Tablet</v>
      </c>
      <c r="E439" t="s">
        <v>2404</v>
      </c>
      <c r="F439">
        <v>1</v>
      </c>
      <c r="G439" s="7">
        <v>512.39</v>
      </c>
      <c r="H439" s="3" t="s">
        <v>2751</v>
      </c>
      <c r="I439" s="3" t="s">
        <v>3066</v>
      </c>
      <c r="J439" s="3" t="s">
        <v>3073</v>
      </c>
      <c r="K439" s="3" t="s">
        <v>3512</v>
      </c>
      <c r="L439" s="3">
        <v>2</v>
      </c>
      <c r="M439" s="10" t="s">
        <v>4276</v>
      </c>
      <c r="N439" s="3" t="s">
        <v>4278</v>
      </c>
      <c r="O439" s="7">
        <v>512.39</v>
      </c>
      <c r="P439" s="3">
        <f t="shared" si="14"/>
        <v>512.39</v>
      </c>
    </row>
    <row r="440" spans="1:16" x14ac:dyDescent="0.35">
      <c r="A440" t="s">
        <v>452</v>
      </c>
      <c r="B440" s="5">
        <v>45660</v>
      </c>
      <c r="C440" t="s">
        <v>1652</v>
      </c>
      <c r="D440" s="1" t="str">
        <f t="shared" si="13"/>
        <v>Tablet</v>
      </c>
      <c r="E440" t="s">
        <v>2405</v>
      </c>
      <c r="F440">
        <v>3</v>
      </c>
      <c r="G440" s="7">
        <v>459.34</v>
      </c>
      <c r="H440" s="3" t="s">
        <v>2752</v>
      </c>
      <c r="I440" s="3" t="s">
        <v>3068</v>
      </c>
      <c r="J440" s="3" t="s">
        <v>3074</v>
      </c>
      <c r="K440" s="3" t="s">
        <v>3513</v>
      </c>
      <c r="L440" s="3">
        <v>3</v>
      </c>
      <c r="M440" s="10" t="s">
        <v>4275</v>
      </c>
      <c r="N440" s="3" t="s">
        <v>4278</v>
      </c>
      <c r="O440" s="7">
        <v>1378.02</v>
      </c>
      <c r="P440" s="3">
        <f t="shared" si="14"/>
        <v>1378.02</v>
      </c>
    </row>
    <row r="441" spans="1:16" x14ac:dyDescent="0.35">
      <c r="A441" t="s">
        <v>453</v>
      </c>
      <c r="B441" s="5">
        <v>45543</v>
      </c>
      <c r="C441" t="s">
        <v>1653</v>
      </c>
      <c r="D441" s="1" t="str">
        <f t="shared" si="13"/>
        <v>Desk</v>
      </c>
      <c r="E441" t="s">
        <v>2405</v>
      </c>
      <c r="F441">
        <v>1</v>
      </c>
      <c r="G441" s="7">
        <v>146.32</v>
      </c>
      <c r="H441" s="3" t="s">
        <v>2753</v>
      </c>
      <c r="I441" s="3" t="s">
        <v>3066</v>
      </c>
      <c r="J441" s="3" t="s">
        <v>3070</v>
      </c>
      <c r="K441" s="3" t="s">
        <v>3514</v>
      </c>
      <c r="L441" s="3">
        <v>4</v>
      </c>
      <c r="M441" s="10" t="s">
        <v>4277</v>
      </c>
      <c r="N441" s="3" t="s">
        <v>4281</v>
      </c>
      <c r="O441" s="7">
        <v>146.32</v>
      </c>
      <c r="P441" s="3">
        <f t="shared" si="14"/>
        <v>146.32</v>
      </c>
    </row>
    <row r="442" spans="1:16" x14ac:dyDescent="0.35">
      <c r="A442" t="s">
        <v>454</v>
      </c>
      <c r="B442" s="5">
        <v>45601</v>
      </c>
      <c r="C442" t="s">
        <v>1654</v>
      </c>
      <c r="D442" s="1" t="str">
        <f t="shared" si="13"/>
        <v>Printer</v>
      </c>
      <c r="E442" t="s">
        <v>2409</v>
      </c>
      <c r="F442">
        <v>4</v>
      </c>
      <c r="G442" s="7">
        <v>83.6</v>
      </c>
      <c r="H442" s="3" t="s">
        <v>2674</v>
      </c>
      <c r="I442" s="3" t="s">
        <v>3065</v>
      </c>
      <c r="J442" s="3" t="s">
        <v>3074</v>
      </c>
      <c r="K442" s="3" t="s">
        <v>3515</v>
      </c>
      <c r="L442" s="3">
        <v>4</v>
      </c>
      <c r="M442" s="10" t="s">
        <v>4275</v>
      </c>
      <c r="N442" s="3" t="s">
        <v>4281</v>
      </c>
      <c r="O442" s="7">
        <v>334.4</v>
      </c>
      <c r="P442" s="3">
        <f t="shared" si="14"/>
        <v>334.4</v>
      </c>
    </row>
    <row r="443" spans="1:16" x14ac:dyDescent="0.35">
      <c r="A443" t="s">
        <v>455</v>
      </c>
      <c r="B443" s="5">
        <v>45273</v>
      </c>
      <c r="C443" t="s">
        <v>1655</v>
      </c>
      <c r="D443" s="1" t="str">
        <f t="shared" si="13"/>
        <v>Chair</v>
      </c>
      <c r="E443" t="s">
        <v>2407</v>
      </c>
      <c r="F443">
        <v>2</v>
      </c>
      <c r="G443" s="7">
        <v>328.54</v>
      </c>
      <c r="H443" s="3" t="s">
        <v>2754</v>
      </c>
      <c r="I443" s="3" t="s">
        <v>3068</v>
      </c>
      <c r="J443" s="3" t="s">
        <v>3072</v>
      </c>
      <c r="K443" s="3" t="s">
        <v>3516</v>
      </c>
      <c r="L443" s="3">
        <v>6</v>
      </c>
      <c r="M443" s="10" t="s">
        <v>4276</v>
      </c>
      <c r="N443" s="3" t="s">
        <v>4280</v>
      </c>
      <c r="O443" s="7">
        <v>657.08</v>
      </c>
      <c r="P443" s="3">
        <f t="shared" si="14"/>
        <v>657.08</v>
      </c>
    </row>
    <row r="444" spans="1:16" x14ac:dyDescent="0.35">
      <c r="A444" t="s">
        <v>456</v>
      </c>
      <c r="B444" s="5">
        <v>45418</v>
      </c>
      <c r="C444" t="s">
        <v>1656</v>
      </c>
      <c r="D444" s="1" t="str">
        <f t="shared" si="13"/>
        <v>Chair</v>
      </c>
      <c r="E444" t="s">
        <v>2406</v>
      </c>
      <c r="F444">
        <v>5</v>
      </c>
      <c r="G444" s="7">
        <v>314.94</v>
      </c>
      <c r="H444" s="3" t="s">
        <v>2755</v>
      </c>
      <c r="I444" s="3" t="s">
        <v>3069</v>
      </c>
      <c r="J444" s="3" t="s">
        <v>3074</v>
      </c>
      <c r="K444" s="3" t="s">
        <v>3517</v>
      </c>
      <c r="L444" s="3">
        <v>8</v>
      </c>
      <c r="M444" s="10" t="s">
        <v>4275</v>
      </c>
      <c r="N444" s="3" t="s">
        <v>4278</v>
      </c>
      <c r="O444" s="7">
        <v>1574.7</v>
      </c>
      <c r="P444" s="3">
        <f t="shared" si="14"/>
        <v>1574.7</v>
      </c>
    </row>
    <row r="445" spans="1:16" x14ac:dyDescent="0.35">
      <c r="A445" t="s">
        <v>457</v>
      </c>
      <c r="B445" s="5">
        <v>45426</v>
      </c>
      <c r="C445" t="s">
        <v>1657</v>
      </c>
      <c r="D445" s="1" t="str">
        <f t="shared" si="13"/>
        <v>Printer</v>
      </c>
      <c r="E445" t="s">
        <v>2406</v>
      </c>
      <c r="F445">
        <v>2</v>
      </c>
      <c r="G445" s="7">
        <v>69.64</v>
      </c>
      <c r="H445" s="3" t="s">
        <v>2469</v>
      </c>
      <c r="I445" s="3" t="s">
        <v>3069</v>
      </c>
      <c r="J445" s="3" t="s">
        <v>3072</v>
      </c>
      <c r="K445" s="3" t="s">
        <v>3518</v>
      </c>
      <c r="L445" s="3">
        <v>6</v>
      </c>
      <c r="N445" s="3" t="s">
        <v>4281</v>
      </c>
      <c r="O445" s="7">
        <v>139.28</v>
      </c>
      <c r="P445" s="3">
        <f t="shared" si="14"/>
        <v>139.28</v>
      </c>
    </row>
    <row r="446" spans="1:16" x14ac:dyDescent="0.35">
      <c r="A446" t="s">
        <v>458</v>
      </c>
      <c r="B446" s="5">
        <v>45451</v>
      </c>
      <c r="C446" t="s">
        <v>1658</v>
      </c>
      <c r="D446" s="1" t="str">
        <f t="shared" si="13"/>
        <v>Phone</v>
      </c>
      <c r="E446" t="s">
        <v>2407</v>
      </c>
      <c r="F446">
        <v>1</v>
      </c>
      <c r="G446" s="7">
        <v>135.16999999999999</v>
      </c>
      <c r="H446" s="3" t="s">
        <v>2756</v>
      </c>
      <c r="I446" s="3" t="s">
        <v>3066</v>
      </c>
      <c r="J446" s="3" t="s">
        <v>3070</v>
      </c>
      <c r="K446" s="3" t="s">
        <v>3519</v>
      </c>
      <c r="L446" s="3">
        <v>6</v>
      </c>
      <c r="M446" s="10" t="s">
        <v>4276</v>
      </c>
      <c r="N446" s="3" t="s">
        <v>4278</v>
      </c>
      <c r="O446" s="7">
        <v>135.16999999999999</v>
      </c>
      <c r="P446" s="3">
        <f t="shared" si="14"/>
        <v>135.16999999999999</v>
      </c>
    </row>
    <row r="447" spans="1:16" x14ac:dyDescent="0.35">
      <c r="A447" t="s">
        <v>459</v>
      </c>
      <c r="B447" s="5">
        <v>45374</v>
      </c>
      <c r="C447" t="s">
        <v>1659</v>
      </c>
      <c r="D447" s="1" t="str">
        <f t="shared" si="13"/>
        <v>Laptop</v>
      </c>
      <c r="E447" t="s">
        <v>2404</v>
      </c>
      <c r="F447">
        <v>1</v>
      </c>
      <c r="G447" s="7">
        <v>487.21</v>
      </c>
      <c r="H447" s="3" t="s">
        <v>2757</v>
      </c>
      <c r="I447" s="3" t="s">
        <v>3069</v>
      </c>
      <c r="J447" s="3" t="s">
        <v>3073</v>
      </c>
      <c r="K447" s="3" t="s">
        <v>3520</v>
      </c>
      <c r="L447" s="3">
        <v>3</v>
      </c>
      <c r="M447" s="10" t="s">
        <v>4275</v>
      </c>
      <c r="N447" s="3" t="s">
        <v>4279</v>
      </c>
      <c r="O447" s="7">
        <v>487.21</v>
      </c>
      <c r="P447" s="3">
        <f t="shared" si="14"/>
        <v>487.21</v>
      </c>
    </row>
    <row r="448" spans="1:16" x14ac:dyDescent="0.35">
      <c r="A448" t="s">
        <v>460</v>
      </c>
      <c r="B448" s="5">
        <v>45217</v>
      </c>
      <c r="C448" t="s">
        <v>1660</v>
      </c>
      <c r="D448" s="1" t="str">
        <f t="shared" si="13"/>
        <v>Printer</v>
      </c>
      <c r="E448" t="s">
        <v>2408</v>
      </c>
      <c r="F448">
        <v>5</v>
      </c>
      <c r="G448" s="7">
        <v>509.58</v>
      </c>
      <c r="H448" s="3" t="s">
        <v>2758</v>
      </c>
      <c r="I448" s="3" t="s">
        <v>3066</v>
      </c>
      <c r="J448" s="3" t="s">
        <v>3073</v>
      </c>
      <c r="K448" s="3" t="s">
        <v>3521</v>
      </c>
      <c r="L448" s="3">
        <v>6</v>
      </c>
      <c r="M448" s="10" t="s">
        <v>4276</v>
      </c>
      <c r="N448" s="3" t="s">
        <v>4278</v>
      </c>
      <c r="O448" s="7">
        <v>2547.9</v>
      </c>
      <c r="P448" s="3">
        <f t="shared" si="14"/>
        <v>2547.9</v>
      </c>
    </row>
    <row r="449" spans="1:16" x14ac:dyDescent="0.35">
      <c r="A449" t="s">
        <v>461</v>
      </c>
      <c r="B449" s="5">
        <v>45389</v>
      </c>
      <c r="C449" t="s">
        <v>1661</v>
      </c>
      <c r="D449" s="1" t="str">
        <f t="shared" si="13"/>
        <v>Laptop</v>
      </c>
      <c r="E449" t="s">
        <v>2407</v>
      </c>
      <c r="F449">
        <v>2</v>
      </c>
      <c r="G449" s="7">
        <v>416.81</v>
      </c>
      <c r="H449" s="3" t="s">
        <v>2759</v>
      </c>
      <c r="I449" s="3" t="s">
        <v>3069</v>
      </c>
      <c r="J449" s="3" t="s">
        <v>3072</v>
      </c>
      <c r="K449" s="3" t="s">
        <v>3522</v>
      </c>
      <c r="L449" s="3">
        <v>2</v>
      </c>
      <c r="N449" s="3" t="s">
        <v>4281</v>
      </c>
      <c r="O449" s="7">
        <v>833.62</v>
      </c>
      <c r="P449" s="3">
        <f t="shared" si="14"/>
        <v>833.62</v>
      </c>
    </row>
    <row r="450" spans="1:16" x14ac:dyDescent="0.35">
      <c r="A450" t="s">
        <v>462</v>
      </c>
      <c r="B450" s="5">
        <v>45173</v>
      </c>
      <c r="C450" t="s">
        <v>1662</v>
      </c>
      <c r="D450" s="1" t="str">
        <f t="shared" ref="D450:D513" si="15">PROPER(TRIM(E451))</f>
        <v>Tablet</v>
      </c>
      <c r="E450" t="s">
        <v>2408</v>
      </c>
      <c r="F450">
        <v>2</v>
      </c>
      <c r="G450" s="7">
        <v>160</v>
      </c>
      <c r="H450" s="3" t="s">
        <v>2760</v>
      </c>
      <c r="I450" s="3" t="s">
        <v>3069</v>
      </c>
      <c r="J450" s="3" t="s">
        <v>3074</v>
      </c>
      <c r="K450" s="3" t="s">
        <v>3523</v>
      </c>
      <c r="L450" s="3">
        <v>4</v>
      </c>
      <c r="M450" s="10" t="s">
        <v>4275</v>
      </c>
      <c r="N450" s="3" t="s">
        <v>4278</v>
      </c>
      <c r="O450" s="7">
        <v>320</v>
      </c>
      <c r="P450" s="3">
        <f t="shared" si="14"/>
        <v>320</v>
      </c>
    </row>
    <row r="451" spans="1:16" x14ac:dyDescent="0.35">
      <c r="A451" t="s">
        <v>463</v>
      </c>
      <c r="B451" s="5">
        <v>45530</v>
      </c>
      <c r="C451" t="s">
        <v>1663</v>
      </c>
      <c r="D451" s="1" t="str">
        <f t="shared" si="15"/>
        <v>Monitor</v>
      </c>
      <c r="E451" t="s">
        <v>2405</v>
      </c>
      <c r="F451">
        <v>3</v>
      </c>
      <c r="G451" s="7">
        <v>253.05</v>
      </c>
      <c r="H451" s="3" t="s">
        <v>2761</v>
      </c>
      <c r="I451" s="3" t="s">
        <v>3066</v>
      </c>
      <c r="J451" s="3" t="s">
        <v>3074</v>
      </c>
      <c r="K451" s="3" t="s">
        <v>3524</v>
      </c>
      <c r="L451" s="3">
        <v>3</v>
      </c>
      <c r="N451" s="3" t="s">
        <v>4278</v>
      </c>
      <c r="O451" s="7">
        <v>759.15000000000009</v>
      </c>
      <c r="P451" s="3">
        <f t="shared" ref="P451:P514" si="16">G451*F451</f>
        <v>759.15000000000009</v>
      </c>
    </row>
    <row r="452" spans="1:16" x14ac:dyDescent="0.35">
      <c r="A452" t="s">
        <v>464</v>
      </c>
      <c r="B452" s="5">
        <v>45306</v>
      </c>
      <c r="C452" t="s">
        <v>1664</v>
      </c>
      <c r="D452" s="1" t="str">
        <f t="shared" si="15"/>
        <v>Monitor</v>
      </c>
      <c r="E452" t="s">
        <v>2403</v>
      </c>
      <c r="F452">
        <v>5</v>
      </c>
      <c r="G452" s="7">
        <v>615.1</v>
      </c>
      <c r="H452" s="3" t="s">
        <v>2762</v>
      </c>
      <c r="I452" s="3" t="s">
        <v>3068</v>
      </c>
      <c r="J452" s="3" t="s">
        <v>3072</v>
      </c>
      <c r="K452" s="3" t="s">
        <v>3525</v>
      </c>
      <c r="L452" s="3">
        <v>10</v>
      </c>
      <c r="M452" s="10" t="s">
        <v>4277</v>
      </c>
      <c r="N452" s="3" t="s">
        <v>4278</v>
      </c>
      <c r="O452" s="7">
        <v>3075.5</v>
      </c>
      <c r="P452" s="3">
        <f t="shared" si="16"/>
        <v>3075.5</v>
      </c>
    </row>
    <row r="453" spans="1:16" x14ac:dyDescent="0.35">
      <c r="A453" t="s">
        <v>465</v>
      </c>
      <c r="B453" s="5">
        <v>45017</v>
      </c>
      <c r="C453" t="s">
        <v>1665</v>
      </c>
      <c r="D453" s="1" t="str">
        <f t="shared" si="15"/>
        <v>Printer</v>
      </c>
      <c r="E453" t="s">
        <v>2403</v>
      </c>
      <c r="F453">
        <v>1</v>
      </c>
      <c r="G453" s="7">
        <v>183.18</v>
      </c>
      <c r="H453" s="3" t="s">
        <v>2507</v>
      </c>
      <c r="I453" s="3" t="s">
        <v>3065</v>
      </c>
      <c r="J453" s="3" t="s">
        <v>3071</v>
      </c>
      <c r="K453" s="3" t="s">
        <v>3526</v>
      </c>
      <c r="L453" s="3">
        <v>6</v>
      </c>
      <c r="M453" s="10" t="s">
        <v>4275</v>
      </c>
      <c r="N453" s="3" t="s">
        <v>4280</v>
      </c>
      <c r="O453" s="7">
        <v>183.18</v>
      </c>
      <c r="P453" s="3">
        <f t="shared" si="16"/>
        <v>183.18</v>
      </c>
    </row>
    <row r="454" spans="1:16" x14ac:dyDescent="0.35">
      <c r="A454" t="s">
        <v>466</v>
      </c>
      <c r="B454" s="5">
        <v>45130</v>
      </c>
      <c r="C454" t="s">
        <v>1666</v>
      </c>
      <c r="D454" s="1" t="str">
        <f t="shared" si="15"/>
        <v>Tablet</v>
      </c>
      <c r="E454" t="s">
        <v>2407</v>
      </c>
      <c r="F454">
        <v>1</v>
      </c>
      <c r="G454" s="7">
        <v>75.78</v>
      </c>
      <c r="H454" s="3" t="s">
        <v>2763</v>
      </c>
      <c r="I454" s="3" t="s">
        <v>3069</v>
      </c>
      <c r="J454" s="3" t="s">
        <v>3074</v>
      </c>
      <c r="K454" s="3" t="s">
        <v>3527</v>
      </c>
      <c r="L454" s="3">
        <v>5</v>
      </c>
      <c r="M454" s="10" t="s">
        <v>4275</v>
      </c>
      <c r="N454" s="3" t="s">
        <v>4282</v>
      </c>
      <c r="O454" s="7">
        <v>75.78</v>
      </c>
      <c r="P454" s="3">
        <f t="shared" si="16"/>
        <v>75.78</v>
      </c>
    </row>
    <row r="455" spans="1:16" x14ac:dyDescent="0.35">
      <c r="A455" t="s">
        <v>467</v>
      </c>
      <c r="B455" s="5">
        <v>45779</v>
      </c>
      <c r="C455" t="s">
        <v>1667</v>
      </c>
      <c r="D455" s="1" t="str">
        <f t="shared" si="15"/>
        <v>Laptop</v>
      </c>
      <c r="E455" t="s">
        <v>2405</v>
      </c>
      <c r="F455">
        <v>1</v>
      </c>
      <c r="G455" s="7">
        <v>675.57</v>
      </c>
      <c r="H455" s="3" t="s">
        <v>2764</v>
      </c>
      <c r="I455" s="3" t="s">
        <v>3069</v>
      </c>
      <c r="J455" s="3" t="s">
        <v>3070</v>
      </c>
      <c r="K455" s="3" t="s">
        <v>3528</v>
      </c>
      <c r="L455" s="3">
        <v>1</v>
      </c>
      <c r="M455" s="10" t="s">
        <v>4277</v>
      </c>
      <c r="N455" s="3" t="s">
        <v>4281</v>
      </c>
      <c r="O455" s="7">
        <v>675.57</v>
      </c>
      <c r="P455" s="3">
        <f t="shared" si="16"/>
        <v>675.57</v>
      </c>
    </row>
    <row r="456" spans="1:16" x14ac:dyDescent="0.35">
      <c r="A456" t="s">
        <v>468</v>
      </c>
      <c r="B456" s="5">
        <v>45623</v>
      </c>
      <c r="C456" t="s">
        <v>1668</v>
      </c>
      <c r="D456" s="1" t="str">
        <f t="shared" si="15"/>
        <v>Phone</v>
      </c>
      <c r="E456" t="s">
        <v>2408</v>
      </c>
      <c r="F456">
        <v>1</v>
      </c>
      <c r="G456" s="7">
        <v>109.29</v>
      </c>
      <c r="H456" s="3" t="s">
        <v>2765</v>
      </c>
      <c r="I456" s="3" t="s">
        <v>3065</v>
      </c>
      <c r="J456" s="3" t="s">
        <v>3071</v>
      </c>
      <c r="K456" s="3" t="s">
        <v>3529</v>
      </c>
      <c r="L456" s="3">
        <v>5</v>
      </c>
      <c r="M456" s="10" t="s">
        <v>4276</v>
      </c>
      <c r="N456" s="3" t="s">
        <v>4282</v>
      </c>
      <c r="O456" s="7">
        <v>109.29</v>
      </c>
      <c r="P456" s="3">
        <f t="shared" si="16"/>
        <v>109.29</v>
      </c>
    </row>
    <row r="457" spans="1:16" x14ac:dyDescent="0.35">
      <c r="A457" t="s">
        <v>469</v>
      </c>
      <c r="B457" s="5">
        <v>45377</v>
      </c>
      <c r="C457" t="s">
        <v>1669</v>
      </c>
      <c r="D457" s="1" t="str">
        <f t="shared" si="15"/>
        <v>Desk</v>
      </c>
      <c r="E457" t="s">
        <v>2404</v>
      </c>
      <c r="F457">
        <v>1</v>
      </c>
      <c r="G457" s="7">
        <v>639.83000000000004</v>
      </c>
      <c r="H457" s="3" t="s">
        <v>2766</v>
      </c>
      <c r="I457" s="3" t="s">
        <v>3065</v>
      </c>
      <c r="J457" s="3" t="s">
        <v>3074</v>
      </c>
      <c r="K457" s="3" t="s">
        <v>3530</v>
      </c>
      <c r="L457" s="3">
        <v>2</v>
      </c>
      <c r="M457" s="10" t="s">
        <v>4275</v>
      </c>
      <c r="N457" s="3" t="s">
        <v>4279</v>
      </c>
      <c r="O457" s="7">
        <v>639.83000000000004</v>
      </c>
      <c r="P457" s="3">
        <f t="shared" si="16"/>
        <v>639.83000000000004</v>
      </c>
    </row>
    <row r="458" spans="1:16" x14ac:dyDescent="0.35">
      <c r="A458" t="s">
        <v>470</v>
      </c>
      <c r="B458" s="5">
        <v>45103</v>
      </c>
      <c r="C458" t="s">
        <v>1670</v>
      </c>
      <c r="D458" s="1" t="str">
        <f t="shared" si="15"/>
        <v>Desk</v>
      </c>
      <c r="E458" t="s">
        <v>2409</v>
      </c>
      <c r="F458">
        <v>5</v>
      </c>
      <c r="G458" s="7">
        <v>62.81</v>
      </c>
      <c r="H458" s="3" t="s">
        <v>2698</v>
      </c>
      <c r="I458" s="3" t="s">
        <v>3067</v>
      </c>
      <c r="J458" s="3" t="s">
        <v>3070</v>
      </c>
      <c r="K458" s="3" t="s">
        <v>3531</v>
      </c>
      <c r="L458" s="3">
        <v>9</v>
      </c>
      <c r="M458" s="10" t="s">
        <v>4275</v>
      </c>
      <c r="N458" s="3" t="s">
        <v>4281</v>
      </c>
      <c r="O458" s="7">
        <v>314.05</v>
      </c>
      <c r="P458" s="3">
        <f t="shared" si="16"/>
        <v>314.05</v>
      </c>
    </row>
    <row r="459" spans="1:16" x14ac:dyDescent="0.35">
      <c r="A459" t="s">
        <v>471</v>
      </c>
      <c r="B459" s="5">
        <v>45802</v>
      </c>
      <c r="C459" t="s">
        <v>1671</v>
      </c>
      <c r="D459" s="1" t="str">
        <f t="shared" si="15"/>
        <v>Monitor</v>
      </c>
      <c r="E459" t="s">
        <v>2409</v>
      </c>
      <c r="F459">
        <v>4</v>
      </c>
      <c r="G459" s="7">
        <v>615.83000000000004</v>
      </c>
      <c r="H459" s="3" t="s">
        <v>2767</v>
      </c>
      <c r="I459" s="3" t="s">
        <v>3066</v>
      </c>
      <c r="J459" s="3" t="s">
        <v>3072</v>
      </c>
      <c r="K459" s="3" t="s">
        <v>3532</v>
      </c>
      <c r="L459" s="3">
        <v>4</v>
      </c>
      <c r="M459" s="10" t="s">
        <v>4277</v>
      </c>
      <c r="N459" s="3" t="s">
        <v>4278</v>
      </c>
      <c r="O459" s="7">
        <v>2463.3200000000002</v>
      </c>
      <c r="P459" s="3">
        <f t="shared" si="16"/>
        <v>2463.3200000000002</v>
      </c>
    </row>
    <row r="460" spans="1:16" x14ac:dyDescent="0.35">
      <c r="A460" t="s">
        <v>472</v>
      </c>
      <c r="B460" s="5">
        <v>45475</v>
      </c>
      <c r="C460" t="s">
        <v>1672</v>
      </c>
      <c r="D460" s="1" t="str">
        <f t="shared" si="15"/>
        <v>Desk</v>
      </c>
      <c r="E460" t="s">
        <v>2403</v>
      </c>
      <c r="F460">
        <v>4</v>
      </c>
      <c r="G460" s="7">
        <v>510.58</v>
      </c>
      <c r="H460" s="3" t="s">
        <v>2495</v>
      </c>
      <c r="I460" s="3" t="s">
        <v>3067</v>
      </c>
      <c r="J460" s="3" t="s">
        <v>3072</v>
      </c>
      <c r="K460" s="3" t="s">
        <v>3533</v>
      </c>
      <c r="L460" s="3">
        <v>7</v>
      </c>
      <c r="M460" s="10" t="s">
        <v>4277</v>
      </c>
      <c r="N460" s="3" t="s">
        <v>4280</v>
      </c>
      <c r="O460" s="7">
        <v>2042.32</v>
      </c>
      <c r="P460" s="3">
        <f t="shared" si="16"/>
        <v>2042.32</v>
      </c>
    </row>
    <row r="461" spans="1:16" x14ac:dyDescent="0.35">
      <c r="A461" t="s">
        <v>473</v>
      </c>
      <c r="B461" s="5">
        <v>45497</v>
      </c>
      <c r="C461" t="s">
        <v>1673</v>
      </c>
      <c r="D461" s="1" t="str">
        <f t="shared" si="15"/>
        <v>Laptop</v>
      </c>
      <c r="E461" t="s">
        <v>2409</v>
      </c>
      <c r="F461">
        <v>1</v>
      </c>
      <c r="G461" s="7">
        <v>334.39</v>
      </c>
      <c r="H461" s="3" t="s">
        <v>2749</v>
      </c>
      <c r="I461" s="3" t="s">
        <v>3067</v>
      </c>
      <c r="J461" s="3" t="s">
        <v>3072</v>
      </c>
      <c r="K461" s="3" t="s">
        <v>3534</v>
      </c>
      <c r="L461" s="3">
        <v>2</v>
      </c>
      <c r="N461" s="3" t="s">
        <v>4278</v>
      </c>
      <c r="O461" s="7">
        <v>334.39</v>
      </c>
      <c r="P461" s="3">
        <f t="shared" si="16"/>
        <v>334.39</v>
      </c>
    </row>
    <row r="462" spans="1:16" x14ac:dyDescent="0.35">
      <c r="A462" t="s">
        <v>474</v>
      </c>
      <c r="B462" s="5">
        <v>45571</v>
      </c>
      <c r="C462" t="s">
        <v>1674</v>
      </c>
      <c r="D462" s="1" t="str">
        <f t="shared" si="15"/>
        <v>Tablet</v>
      </c>
      <c r="E462" t="s">
        <v>2408</v>
      </c>
      <c r="F462">
        <v>1</v>
      </c>
      <c r="G462" s="7">
        <v>144.25</v>
      </c>
      <c r="H462" s="3" t="s">
        <v>2768</v>
      </c>
      <c r="I462" s="3" t="s">
        <v>3069</v>
      </c>
      <c r="J462" s="3" t="s">
        <v>3072</v>
      </c>
      <c r="K462" s="3" t="s">
        <v>3535</v>
      </c>
      <c r="L462" s="3">
        <v>2</v>
      </c>
      <c r="M462" s="10" t="s">
        <v>4277</v>
      </c>
      <c r="N462" s="3" t="s">
        <v>4279</v>
      </c>
      <c r="O462" s="7">
        <v>144.25</v>
      </c>
      <c r="P462" s="3">
        <f t="shared" si="16"/>
        <v>144.25</v>
      </c>
    </row>
    <row r="463" spans="1:16" x14ac:dyDescent="0.35">
      <c r="A463" t="s">
        <v>475</v>
      </c>
      <c r="B463" s="5">
        <v>45451</v>
      </c>
      <c r="C463" t="s">
        <v>1675</v>
      </c>
      <c r="D463" s="1" t="str">
        <f t="shared" si="15"/>
        <v>Phone</v>
      </c>
      <c r="E463" t="s">
        <v>2405</v>
      </c>
      <c r="F463">
        <v>1</v>
      </c>
      <c r="G463" s="7">
        <v>401.82</v>
      </c>
      <c r="H463" s="3" t="s">
        <v>2618</v>
      </c>
      <c r="I463" s="3" t="s">
        <v>3067</v>
      </c>
      <c r="J463" s="3" t="s">
        <v>3070</v>
      </c>
      <c r="K463" s="3" t="s">
        <v>3536</v>
      </c>
      <c r="L463" s="3">
        <v>5</v>
      </c>
      <c r="M463" s="10" t="s">
        <v>4276</v>
      </c>
      <c r="N463" s="3" t="s">
        <v>4282</v>
      </c>
      <c r="O463" s="7">
        <v>401.82</v>
      </c>
      <c r="P463" s="3">
        <f t="shared" si="16"/>
        <v>401.82</v>
      </c>
    </row>
    <row r="464" spans="1:16" x14ac:dyDescent="0.35">
      <c r="A464" t="s">
        <v>476</v>
      </c>
      <c r="B464" s="5">
        <v>45747</v>
      </c>
      <c r="C464" t="s">
        <v>1676</v>
      </c>
      <c r="D464" s="1" t="str">
        <f t="shared" si="15"/>
        <v>Laptop</v>
      </c>
      <c r="E464" t="s">
        <v>2404</v>
      </c>
      <c r="F464">
        <v>1</v>
      </c>
      <c r="G464" s="7">
        <v>252.68</v>
      </c>
      <c r="H464" s="3" t="s">
        <v>2769</v>
      </c>
      <c r="I464" s="3" t="s">
        <v>3066</v>
      </c>
      <c r="J464" s="3" t="s">
        <v>3071</v>
      </c>
      <c r="K464" s="3" t="s">
        <v>3537</v>
      </c>
      <c r="L464" s="3">
        <v>1</v>
      </c>
      <c r="N464" s="3" t="s">
        <v>4279</v>
      </c>
      <c r="O464" s="7">
        <v>252.68</v>
      </c>
      <c r="P464" s="3">
        <f t="shared" si="16"/>
        <v>252.68</v>
      </c>
    </row>
    <row r="465" spans="1:16" x14ac:dyDescent="0.35">
      <c r="A465" t="s">
        <v>477</v>
      </c>
      <c r="B465" s="5">
        <v>45072</v>
      </c>
      <c r="C465" t="s">
        <v>1677</v>
      </c>
      <c r="D465" s="1" t="str">
        <f t="shared" si="15"/>
        <v>Tablet</v>
      </c>
      <c r="E465" t="s">
        <v>2408</v>
      </c>
      <c r="F465">
        <v>5</v>
      </c>
      <c r="G465" s="7">
        <v>662.78</v>
      </c>
      <c r="H465" s="3" t="s">
        <v>2770</v>
      </c>
      <c r="I465" s="3" t="s">
        <v>3065</v>
      </c>
      <c r="J465" s="3" t="s">
        <v>3070</v>
      </c>
      <c r="K465" s="3" t="s">
        <v>3538</v>
      </c>
      <c r="L465" s="3">
        <v>9</v>
      </c>
      <c r="M465" s="10" t="s">
        <v>4275</v>
      </c>
      <c r="N465" s="3" t="s">
        <v>4278</v>
      </c>
      <c r="O465" s="7">
        <v>3313.9</v>
      </c>
      <c r="P465" s="3">
        <f t="shared" si="16"/>
        <v>3313.8999999999996</v>
      </c>
    </row>
    <row r="466" spans="1:16" x14ac:dyDescent="0.35">
      <c r="A466" t="s">
        <v>478</v>
      </c>
      <c r="B466" s="5">
        <v>44999</v>
      </c>
      <c r="C466" t="s">
        <v>1678</v>
      </c>
      <c r="D466" s="1" t="str">
        <f t="shared" si="15"/>
        <v>Printer</v>
      </c>
      <c r="E466" t="s">
        <v>2405</v>
      </c>
      <c r="F466">
        <v>4</v>
      </c>
      <c r="G466" s="7">
        <v>434.42</v>
      </c>
      <c r="H466" s="3" t="s">
        <v>2771</v>
      </c>
      <c r="I466" s="3" t="s">
        <v>3066</v>
      </c>
      <c r="J466" s="3" t="s">
        <v>3071</v>
      </c>
      <c r="K466" s="3" t="s">
        <v>3539</v>
      </c>
      <c r="L466" s="3">
        <v>6</v>
      </c>
      <c r="M466" s="10" t="s">
        <v>4276</v>
      </c>
      <c r="N466" s="3" t="s">
        <v>4282</v>
      </c>
      <c r="O466" s="7">
        <v>1737.68</v>
      </c>
      <c r="P466" s="3">
        <f t="shared" si="16"/>
        <v>1737.68</v>
      </c>
    </row>
    <row r="467" spans="1:16" x14ac:dyDescent="0.35">
      <c r="A467" t="s">
        <v>479</v>
      </c>
      <c r="B467" s="5">
        <v>45348</v>
      </c>
      <c r="C467" t="s">
        <v>1679</v>
      </c>
      <c r="D467" s="1" t="str">
        <f t="shared" si="15"/>
        <v>Phone</v>
      </c>
      <c r="E467" t="s">
        <v>2407</v>
      </c>
      <c r="F467">
        <v>5</v>
      </c>
      <c r="G467" s="7">
        <v>513.49</v>
      </c>
      <c r="H467" s="3" t="s">
        <v>2772</v>
      </c>
      <c r="I467" s="3" t="s">
        <v>3068</v>
      </c>
      <c r="J467" s="3" t="s">
        <v>3071</v>
      </c>
      <c r="K467" s="3" t="s">
        <v>3540</v>
      </c>
      <c r="L467" s="3">
        <v>8</v>
      </c>
      <c r="N467" s="3" t="s">
        <v>4282</v>
      </c>
      <c r="O467" s="7">
        <v>2567.4499999999998</v>
      </c>
      <c r="P467" s="3">
        <f t="shared" si="16"/>
        <v>2567.4499999999998</v>
      </c>
    </row>
    <row r="468" spans="1:16" x14ac:dyDescent="0.35">
      <c r="A468" t="s">
        <v>480</v>
      </c>
      <c r="B468" s="5">
        <v>45125</v>
      </c>
      <c r="C468" t="s">
        <v>1680</v>
      </c>
      <c r="D468" s="1" t="str">
        <f t="shared" si="15"/>
        <v>Desk</v>
      </c>
      <c r="E468" t="s">
        <v>2404</v>
      </c>
      <c r="F468">
        <v>1</v>
      </c>
      <c r="G468" s="7">
        <v>432.47</v>
      </c>
      <c r="H468" s="3" t="s">
        <v>2440</v>
      </c>
      <c r="I468" s="3" t="s">
        <v>3069</v>
      </c>
      <c r="J468" s="3" t="s">
        <v>3073</v>
      </c>
      <c r="K468" s="3" t="s">
        <v>3541</v>
      </c>
      <c r="L468" s="3">
        <v>4</v>
      </c>
      <c r="M468" s="10" t="s">
        <v>4276</v>
      </c>
      <c r="N468" s="3" t="s">
        <v>4279</v>
      </c>
      <c r="O468" s="7">
        <v>432.47</v>
      </c>
      <c r="P468" s="3">
        <f t="shared" si="16"/>
        <v>432.47</v>
      </c>
    </row>
    <row r="469" spans="1:16" x14ac:dyDescent="0.35">
      <c r="A469" t="s">
        <v>481</v>
      </c>
      <c r="B469" s="5">
        <v>45534</v>
      </c>
      <c r="C469" t="s">
        <v>1681</v>
      </c>
      <c r="D469" s="1" t="str">
        <f t="shared" si="15"/>
        <v>Phone</v>
      </c>
      <c r="E469" t="s">
        <v>2409</v>
      </c>
      <c r="F469">
        <v>1</v>
      </c>
      <c r="G469" s="7">
        <v>45.94</v>
      </c>
      <c r="H469" s="3" t="s">
        <v>2577</v>
      </c>
      <c r="I469" s="3" t="s">
        <v>3069</v>
      </c>
      <c r="J469" s="3" t="s">
        <v>3071</v>
      </c>
      <c r="K469" s="3" t="s">
        <v>3542</v>
      </c>
      <c r="L469" s="3">
        <v>2</v>
      </c>
      <c r="M469" s="10" t="s">
        <v>4277</v>
      </c>
      <c r="N469" s="3" t="s">
        <v>4280</v>
      </c>
      <c r="O469" s="7">
        <v>45.94</v>
      </c>
      <c r="P469" s="3">
        <f t="shared" si="16"/>
        <v>45.94</v>
      </c>
    </row>
    <row r="470" spans="1:16" x14ac:dyDescent="0.35">
      <c r="A470" t="s">
        <v>482</v>
      </c>
      <c r="B470" s="5">
        <v>45829</v>
      </c>
      <c r="C470" t="s">
        <v>1682</v>
      </c>
      <c r="D470" s="1" t="str">
        <f t="shared" si="15"/>
        <v>Chair</v>
      </c>
      <c r="E470" t="s">
        <v>2404</v>
      </c>
      <c r="F470">
        <v>1</v>
      </c>
      <c r="G470" s="7">
        <v>418.36</v>
      </c>
      <c r="H470" s="3" t="s">
        <v>2773</v>
      </c>
      <c r="I470" s="3" t="s">
        <v>3067</v>
      </c>
      <c r="J470" s="3" t="s">
        <v>3073</v>
      </c>
      <c r="K470" s="3" t="s">
        <v>3543</v>
      </c>
      <c r="L470" s="3">
        <v>5</v>
      </c>
      <c r="M470" s="10" t="s">
        <v>4276</v>
      </c>
      <c r="N470" s="3" t="s">
        <v>4280</v>
      </c>
      <c r="O470" s="7">
        <v>418.36</v>
      </c>
      <c r="P470" s="3">
        <f t="shared" si="16"/>
        <v>418.36</v>
      </c>
    </row>
    <row r="471" spans="1:16" x14ac:dyDescent="0.35">
      <c r="A471" t="s">
        <v>483</v>
      </c>
      <c r="B471" s="5">
        <v>45256</v>
      </c>
      <c r="C471" t="s">
        <v>1683</v>
      </c>
      <c r="D471" s="1" t="str">
        <f t="shared" si="15"/>
        <v>Tablet</v>
      </c>
      <c r="E471" t="s">
        <v>2406</v>
      </c>
      <c r="F471">
        <v>5</v>
      </c>
      <c r="G471" s="7">
        <v>676.98</v>
      </c>
      <c r="H471" s="3" t="s">
        <v>2546</v>
      </c>
      <c r="I471" s="3" t="s">
        <v>3069</v>
      </c>
      <c r="J471" s="3" t="s">
        <v>3071</v>
      </c>
      <c r="K471" s="3" t="s">
        <v>3544</v>
      </c>
      <c r="L471" s="3">
        <v>5</v>
      </c>
      <c r="N471" s="3" t="s">
        <v>4281</v>
      </c>
      <c r="O471" s="7">
        <v>3384.9</v>
      </c>
      <c r="P471" s="3">
        <f t="shared" si="16"/>
        <v>3384.9</v>
      </c>
    </row>
    <row r="472" spans="1:16" x14ac:dyDescent="0.35">
      <c r="A472" t="s">
        <v>484</v>
      </c>
      <c r="B472" s="5">
        <v>45198</v>
      </c>
      <c r="C472" t="s">
        <v>1684</v>
      </c>
      <c r="D472" s="1" t="str">
        <f t="shared" si="15"/>
        <v>Desk</v>
      </c>
      <c r="E472" t="s">
        <v>2405</v>
      </c>
      <c r="F472">
        <v>4</v>
      </c>
      <c r="G472" s="7">
        <v>263.62</v>
      </c>
      <c r="H472" s="3" t="s">
        <v>2774</v>
      </c>
      <c r="I472" s="3" t="s">
        <v>3069</v>
      </c>
      <c r="J472" s="3" t="s">
        <v>3070</v>
      </c>
      <c r="K472" s="3" t="s">
        <v>3545</v>
      </c>
      <c r="L472" s="3">
        <v>5</v>
      </c>
      <c r="M472" s="10" t="s">
        <v>4275</v>
      </c>
      <c r="N472" s="3" t="s">
        <v>4280</v>
      </c>
      <c r="O472" s="7">
        <v>1054.48</v>
      </c>
      <c r="P472" s="3">
        <f t="shared" si="16"/>
        <v>1054.48</v>
      </c>
    </row>
    <row r="473" spans="1:16" x14ac:dyDescent="0.35">
      <c r="A473" t="s">
        <v>485</v>
      </c>
      <c r="B473" s="5">
        <v>45766</v>
      </c>
      <c r="C473" t="s">
        <v>1685</v>
      </c>
      <c r="D473" s="1" t="str">
        <f t="shared" si="15"/>
        <v>Chair</v>
      </c>
      <c r="E473" t="s">
        <v>2409</v>
      </c>
      <c r="F473">
        <v>5</v>
      </c>
      <c r="G473" s="7">
        <v>551.27</v>
      </c>
      <c r="H473" s="3" t="s">
        <v>2775</v>
      </c>
      <c r="I473" s="3" t="s">
        <v>3066</v>
      </c>
      <c r="J473" s="3" t="s">
        <v>3071</v>
      </c>
      <c r="K473" s="3" t="s">
        <v>3546</v>
      </c>
      <c r="L473" s="3">
        <v>7</v>
      </c>
      <c r="M473" s="10" t="s">
        <v>4276</v>
      </c>
      <c r="N473" s="3" t="s">
        <v>4279</v>
      </c>
      <c r="O473" s="7">
        <v>2756.35</v>
      </c>
      <c r="P473" s="3">
        <f t="shared" si="16"/>
        <v>2756.35</v>
      </c>
    </row>
    <row r="474" spans="1:16" x14ac:dyDescent="0.35">
      <c r="A474" t="s">
        <v>486</v>
      </c>
      <c r="B474" s="5">
        <v>44932</v>
      </c>
      <c r="C474" t="s">
        <v>1686</v>
      </c>
      <c r="D474" s="1" t="str">
        <f t="shared" si="15"/>
        <v>Chair</v>
      </c>
      <c r="E474" t="s">
        <v>2406</v>
      </c>
      <c r="F474">
        <v>3</v>
      </c>
      <c r="G474" s="7">
        <v>508.12</v>
      </c>
      <c r="H474" s="3" t="s">
        <v>2776</v>
      </c>
      <c r="I474" s="3" t="s">
        <v>3067</v>
      </c>
      <c r="J474" s="3" t="s">
        <v>3071</v>
      </c>
      <c r="K474" s="3" t="s">
        <v>3547</v>
      </c>
      <c r="L474" s="3">
        <v>8</v>
      </c>
      <c r="M474" s="10" t="s">
        <v>4276</v>
      </c>
      <c r="N474" s="3" t="s">
        <v>4279</v>
      </c>
      <c r="O474" s="7">
        <v>1524.36</v>
      </c>
      <c r="P474" s="3">
        <f t="shared" si="16"/>
        <v>1524.3600000000001</v>
      </c>
    </row>
    <row r="475" spans="1:16" x14ac:dyDescent="0.35">
      <c r="A475" t="s">
        <v>487</v>
      </c>
      <c r="B475" s="5">
        <v>45713</v>
      </c>
      <c r="C475" t="s">
        <v>1687</v>
      </c>
      <c r="D475" s="1" t="str">
        <f t="shared" si="15"/>
        <v>Printer</v>
      </c>
      <c r="E475" t="s">
        <v>2406</v>
      </c>
      <c r="F475">
        <v>2</v>
      </c>
      <c r="G475" s="7">
        <v>14.93</v>
      </c>
      <c r="H475" s="3" t="s">
        <v>2777</v>
      </c>
      <c r="I475" s="3" t="s">
        <v>3066</v>
      </c>
      <c r="J475" s="3" t="s">
        <v>3070</v>
      </c>
      <c r="K475" s="3" t="s">
        <v>3548</v>
      </c>
      <c r="L475" s="3">
        <v>4</v>
      </c>
      <c r="N475" s="3" t="s">
        <v>4281</v>
      </c>
      <c r="O475" s="7">
        <v>29.86</v>
      </c>
      <c r="P475" s="3">
        <f t="shared" si="16"/>
        <v>29.86</v>
      </c>
    </row>
    <row r="476" spans="1:16" x14ac:dyDescent="0.35">
      <c r="A476" t="s">
        <v>488</v>
      </c>
      <c r="B476" s="5">
        <v>45245</v>
      </c>
      <c r="C476" t="s">
        <v>1688</v>
      </c>
      <c r="D476" s="1" t="str">
        <f t="shared" si="15"/>
        <v>Tablet</v>
      </c>
      <c r="E476" t="s">
        <v>2407</v>
      </c>
      <c r="F476">
        <v>3</v>
      </c>
      <c r="G476" s="7">
        <v>229.34</v>
      </c>
      <c r="H476" s="3" t="s">
        <v>2692</v>
      </c>
      <c r="I476" s="3" t="s">
        <v>3067</v>
      </c>
      <c r="J476" s="3" t="s">
        <v>3070</v>
      </c>
      <c r="K476" s="3" t="s">
        <v>3549</v>
      </c>
      <c r="L476" s="3">
        <v>6</v>
      </c>
      <c r="M476" s="10" t="s">
        <v>4275</v>
      </c>
      <c r="N476" s="3" t="s">
        <v>4279</v>
      </c>
      <c r="O476" s="7">
        <v>688.02</v>
      </c>
      <c r="P476" s="3">
        <f t="shared" si="16"/>
        <v>688.02</v>
      </c>
    </row>
    <row r="477" spans="1:16" x14ac:dyDescent="0.35">
      <c r="A477" t="s">
        <v>489</v>
      </c>
      <c r="B477" s="5">
        <v>45766</v>
      </c>
      <c r="C477" t="s">
        <v>1689</v>
      </c>
      <c r="D477" s="1" t="str">
        <f t="shared" si="15"/>
        <v>Phone</v>
      </c>
      <c r="E477" t="s">
        <v>2405</v>
      </c>
      <c r="F477">
        <v>2</v>
      </c>
      <c r="G477" s="7">
        <v>438.62</v>
      </c>
      <c r="H477" s="3" t="s">
        <v>2778</v>
      </c>
      <c r="I477" s="3" t="s">
        <v>3069</v>
      </c>
      <c r="J477" s="3" t="s">
        <v>3071</v>
      </c>
      <c r="K477" s="3" t="s">
        <v>3550</v>
      </c>
      <c r="L477" s="3">
        <v>3</v>
      </c>
      <c r="M477" s="10" t="s">
        <v>4275</v>
      </c>
      <c r="N477" s="3" t="s">
        <v>4281</v>
      </c>
      <c r="O477" s="7">
        <v>877.24</v>
      </c>
      <c r="P477" s="3">
        <f t="shared" si="16"/>
        <v>877.24</v>
      </c>
    </row>
    <row r="478" spans="1:16" x14ac:dyDescent="0.35">
      <c r="A478" t="s">
        <v>490</v>
      </c>
      <c r="B478" s="5">
        <v>45306</v>
      </c>
      <c r="C478" t="s">
        <v>1690</v>
      </c>
      <c r="D478" s="1" t="str">
        <f t="shared" si="15"/>
        <v>Phone</v>
      </c>
      <c r="E478" t="s">
        <v>2404</v>
      </c>
      <c r="F478">
        <v>2</v>
      </c>
      <c r="G478" s="7">
        <v>513.59</v>
      </c>
      <c r="H478" s="3" t="s">
        <v>2779</v>
      </c>
      <c r="I478" s="3" t="s">
        <v>3066</v>
      </c>
      <c r="J478" s="3" t="s">
        <v>3072</v>
      </c>
      <c r="K478" s="3" t="s">
        <v>3551</v>
      </c>
      <c r="L478" s="3">
        <v>4</v>
      </c>
      <c r="M478" s="10" t="s">
        <v>4276</v>
      </c>
      <c r="N478" s="3" t="s">
        <v>4279</v>
      </c>
      <c r="O478" s="7">
        <v>1027.18</v>
      </c>
      <c r="P478" s="3">
        <f t="shared" si="16"/>
        <v>1027.18</v>
      </c>
    </row>
    <row r="479" spans="1:16" x14ac:dyDescent="0.35">
      <c r="A479" t="s">
        <v>491</v>
      </c>
      <c r="B479" s="5">
        <v>45721</v>
      </c>
      <c r="C479" t="s">
        <v>1691</v>
      </c>
      <c r="D479" s="1" t="str">
        <f t="shared" si="15"/>
        <v>Tablet</v>
      </c>
      <c r="E479" t="s">
        <v>2404</v>
      </c>
      <c r="F479">
        <v>2</v>
      </c>
      <c r="G479" s="7">
        <v>253.74</v>
      </c>
      <c r="H479" s="3" t="s">
        <v>2780</v>
      </c>
      <c r="I479" s="3" t="s">
        <v>3066</v>
      </c>
      <c r="J479" s="3" t="s">
        <v>3070</v>
      </c>
      <c r="K479" s="3" t="s">
        <v>3552</v>
      </c>
      <c r="L479" s="3">
        <v>5</v>
      </c>
      <c r="M479" s="10" t="s">
        <v>4275</v>
      </c>
      <c r="N479" s="3" t="s">
        <v>4282</v>
      </c>
      <c r="O479" s="7">
        <v>507.48</v>
      </c>
      <c r="P479" s="3">
        <f t="shared" si="16"/>
        <v>507.48</v>
      </c>
    </row>
    <row r="480" spans="1:16" x14ac:dyDescent="0.35">
      <c r="A480" t="s">
        <v>492</v>
      </c>
      <c r="B480" s="5">
        <v>45597</v>
      </c>
      <c r="C480" t="s">
        <v>1692</v>
      </c>
      <c r="D480" s="1" t="str">
        <f t="shared" si="15"/>
        <v>Monitor</v>
      </c>
      <c r="E480" t="s">
        <v>2405</v>
      </c>
      <c r="F480">
        <v>3</v>
      </c>
      <c r="G480" s="7">
        <v>62.77</v>
      </c>
      <c r="H480" s="3" t="s">
        <v>2426</v>
      </c>
      <c r="I480" s="3" t="s">
        <v>3068</v>
      </c>
      <c r="J480" s="3" t="s">
        <v>3070</v>
      </c>
      <c r="K480" s="3" t="s">
        <v>3553</v>
      </c>
      <c r="L480" s="3">
        <v>6</v>
      </c>
      <c r="M480" s="10" t="s">
        <v>4276</v>
      </c>
      <c r="N480" s="3" t="s">
        <v>4279</v>
      </c>
      <c r="O480" s="7">
        <v>188.31</v>
      </c>
      <c r="P480" s="3">
        <f t="shared" si="16"/>
        <v>188.31</v>
      </c>
    </row>
    <row r="481" spans="1:16" x14ac:dyDescent="0.35">
      <c r="A481" t="s">
        <v>493</v>
      </c>
      <c r="B481" s="5">
        <v>44975</v>
      </c>
      <c r="C481" t="s">
        <v>1693</v>
      </c>
      <c r="D481" s="1" t="str">
        <f t="shared" si="15"/>
        <v>Chair</v>
      </c>
      <c r="E481" t="s">
        <v>2403</v>
      </c>
      <c r="F481">
        <v>4</v>
      </c>
      <c r="G481" s="7">
        <v>25.29</v>
      </c>
      <c r="H481" s="3" t="s">
        <v>2781</v>
      </c>
      <c r="I481" s="3" t="s">
        <v>3067</v>
      </c>
      <c r="J481" s="3" t="s">
        <v>3074</v>
      </c>
      <c r="K481" s="3" t="s">
        <v>3554</v>
      </c>
      <c r="L481" s="3">
        <v>8</v>
      </c>
      <c r="N481" s="3" t="s">
        <v>4282</v>
      </c>
      <c r="O481" s="7">
        <v>101.16</v>
      </c>
      <c r="P481" s="3">
        <f t="shared" si="16"/>
        <v>101.16</v>
      </c>
    </row>
    <row r="482" spans="1:16" x14ac:dyDescent="0.35">
      <c r="A482" t="s">
        <v>494</v>
      </c>
      <c r="B482" s="5">
        <v>45093</v>
      </c>
      <c r="C482" t="s">
        <v>1694</v>
      </c>
      <c r="D482" s="1" t="str">
        <f t="shared" si="15"/>
        <v>Laptop</v>
      </c>
      <c r="E482" t="s">
        <v>2406</v>
      </c>
      <c r="F482">
        <v>1</v>
      </c>
      <c r="G482" s="7">
        <v>335.1</v>
      </c>
      <c r="H482" s="3" t="s">
        <v>2509</v>
      </c>
      <c r="I482" s="3" t="s">
        <v>3065</v>
      </c>
      <c r="J482" s="3" t="s">
        <v>3074</v>
      </c>
      <c r="K482" s="3" t="s">
        <v>3555</v>
      </c>
      <c r="L482" s="3">
        <v>6</v>
      </c>
      <c r="M482" s="10" t="s">
        <v>4276</v>
      </c>
      <c r="N482" s="3" t="s">
        <v>4279</v>
      </c>
      <c r="O482" s="7">
        <v>335.1</v>
      </c>
      <c r="P482" s="3">
        <f t="shared" si="16"/>
        <v>335.1</v>
      </c>
    </row>
    <row r="483" spans="1:16" x14ac:dyDescent="0.35">
      <c r="A483" t="s">
        <v>495</v>
      </c>
      <c r="B483" s="5">
        <v>45039</v>
      </c>
      <c r="C483" t="s">
        <v>1695</v>
      </c>
      <c r="D483" s="1" t="str">
        <f t="shared" si="15"/>
        <v>Monitor</v>
      </c>
      <c r="E483" t="s">
        <v>2408</v>
      </c>
      <c r="F483">
        <v>4</v>
      </c>
      <c r="G483" s="7">
        <v>484.85</v>
      </c>
      <c r="H483" s="3" t="s">
        <v>2596</v>
      </c>
      <c r="I483" s="3" t="s">
        <v>3065</v>
      </c>
      <c r="J483" s="3" t="s">
        <v>3073</v>
      </c>
      <c r="K483" s="3" t="s">
        <v>3556</v>
      </c>
      <c r="L483" s="3">
        <v>5</v>
      </c>
      <c r="M483" s="10" t="s">
        <v>4277</v>
      </c>
      <c r="N483" s="3" t="s">
        <v>4279</v>
      </c>
      <c r="O483" s="7">
        <v>1939.4</v>
      </c>
      <c r="P483" s="3">
        <f t="shared" si="16"/>
        <v>1939.4</v>
      </c>
    </row>
    <row r="484" spans="1:16" x14ac:dyDescent="0.35">
      <c r="A484" t="s">
        <v>496</v>
      </c>
      <c r="B484" s="5">
        <v>45718</v>
      </c>
      <c r="C484" t="s">
        <v>1696</v>
      </c>
      <c r="D484" s="1" t="str">
        <f t="shared" si="15"/>
        <v>Phone</v>
      </c>
      <c r="E484" t="s">
        <v>2403</v>
      </c>
      <c r="F484">
        <v>3</v>
      </c>
      <c r="G484" s="7">
        <v>381.41</v>
      </c>
      <c r="H484" s="3" t="s">
        <v>2487</v>
      </c>
      <c r="I484" s="3" t="s">
        <v>3066</v>
      </c>
      <c r="J484" s="3" t="s">
        <v>3074</v>
      </c>
      <c r="K484" s="3" t="s">
        <v>3557</v>
      </c>
      <c r="L484" s="3">
        <v>6</v>
      </c>
      <c r="N484" s="3" t="s">
        <v>4278</v>
      </c>
      <c r="O484" s="7">
        <v>1144.23</v>
      </c>
      <c r="P484" s="3">
        <f t="shared" si="16"/>
        <v>1144.23</v>
      </c>
    </row>
    <row r="485" spans="1:16" x14ac:dyDescent="0.35">
      <c r="A485" t="s">
        <v>497</v>
      </c>
      <c r="B485" s="5">
        <v>44944</v>
      </c>
      <c r="C485" t="s">
        <v>1697</v>
      </c>
      <c r="D485" s="1" t="str">
        <f t="shared" si="15"/>
        <v>Chair</v>
      </c>
      <c r="E485" t="s">
        <v>2404</v>
      </c>
      <c r="F485">
        <v>5</v>
      </c>
      <c r="G485" s="7">
        <v>347.92</v>
      </c>
      <c r="H485" s="3" t="s">
        <v>2782</v>
      </c>
      <c r="I485" s="3" t="s">
        <v>3069</v>
      </c>
      <c r="J485" s="3" t="s">
        <v>3074</v>
      </c>
      <c r="K485" s="3" t="s">
        <v>3558</v>
      </c>
      <c r="L485" s="3">
        <v>6</v>
      </c>
      <c r="M485" s="10" t="s">
        <v>4277</v>
      </c>
      <c r="N485" s="3" t="s">
        <v>4282</v>
      </c>
      <c r="O485" s="7">
        <v>1739.6</v>
      </c>
      <c r="P485" s="3">
        <f t="shared" si="16"/>
        <v>1739.6000000000001</v>
      </c>
    </row>
    <row r="486" spans="1:16" x14ac:dyDescent="0.35">
      <c r="A486" t="s">
        <v>498</v>
      </c>
      <c r="B486" s="5">
        <v>45441</v>
      </c>
      <c r="C486" t="s">
        <v>1698</v>
      </c>
      <c r="D486" s="1" t="str">
        <f t="shared" si="15"/>
        <v>Chair</v>
      </c>
      <c r="E486" t="s">
        <v>2406</v>
      </c>
      <c r="F486">
        <v>4</v>
      </c>
      <c r="G486" s="7">
        <v>15.01</v>
      </c>
      <c r="H486" s="3" t="s">
        <v>2736</v>
      </c>
      <c r="I486" s="3" t="s">
        <v>3069</v>
      </c>
      <c r="J486" s="3" t="s">
        <v>3071</v>
      </c>
      <c r="K486" s="3" t="s">
        <v>3559</v>
      </c>
      <c r="L486" s="3">
        <v>6</v>
      </c>
      <c r="N486" s="3" t="s">
        <v>4281</v>
      </c>
      <c r="O486" s="7">
        <v>60.04</v>
      </c>
      <c r="P486" s="3">
        <f t="shared" si="16"/>
        <v>60.04</v>
      </c>
    </row>
    <row r="487" spans="1:16" x14ac:dyDescent="0.35">
      <c r="A487" t="s">
        <v>499</v>
      </c>
      <c r="B487" s="5">
        <v>45139</v>
      </c>
      <c r="C487" t="s">
        <v>1699</v>
      </c>
      <c r="D487" s="1" t="str">
        <f t="shared" si="15"/>
        <v>Printer</v>
      </c>
      <c r="E487" t="s">
        <v>2406</v>
      </c>
      <c r="F487">
        <v>3</v>
      </c>
      <c r="G487" s="7">
        <v>404.79</v>
      </c>
      <c r="H487" s="3" t="s">
        <v>2783</v>
      </c>
      <c r="I487" s="3" t="s">
        <v>3069</v>
      </c>
      <c r="J487" s="3" t="s">
        <v>3070</v>
      </c>
      <c r="K487" s="3" t="s">
        <v>3560</v>
      </c>
      <c r="L487" s="3">
        <v>6</v>
      </c>
      <c r="M487" s="10" t="s">
        <v>4275</v>
      </c>
      <c r="N487" s="3" t="s">
        <v>4278</v>
      </c>
      <c r="O487" s="7">
        <v>1214.3699999999999</v>
      </c>
      <c r="P487" s="3">
        <f t="shared" si="16"/>
        <v>1214.3700000000001</v>
      </c>
    </row>
    <row r="488" spans="1:16" x14ac:dyDescent="0.35">
      <c r="A488" t="s">
        <v>500</v>
      </c>
      <c r="B488" s="5">
        <v>44960</v>
      </c>
      <c r="C488" t="s">
        <v>1700</v>
      </c>
      <c r="D488" s="1" t="str">
        <f t="shared" si="15"/>
        <v>Printer</v>
      </c>
      <c r="E488" t="s">
        <v>2407</v>
      </c>
      <c r="F488">
        <v>4</v>
      </c>
      <c r="G488" s="7">
        <v>611.26</v>
      </c>
      <c r="H488" s="3" t="s">
        <v>2727</v>
      </c>
      <c r="I488" s="3" t="s">
        <v>3069</v>
      </c>
      <c r="J488" s="3" t="s">
        <v>3070</v>
      </c>
      <c r="K488" s="3" t="s">
        <v>3561</v>
      </c>
      <c r="L488" s="3">
        <v>5</v>
      </c>
      <c r="M488" s="10" t="s">
        <v>4275</v>
      </c>
      <c r="N488" s="3" t="s">
        <v>4279</v>
      </c>
      <c r="O488" s="7">
        <v>2445.04</v>
      </c>
      <c r="P488" s="3">
        <f t="shared" si="16"/>
        <v>2445.04</v>
      </c>
    </row>
    <row r="489" spans="1:16" x14ac:dyDescent="0.35">
      <c r="A489" t="s">
        <v>501</v>
      </c>
      <c r="B489" s="5">
        <v>44994</v>
      </c>
      <c r="C489" t="s">
        <v>1701</v>
      </c>
      <c r="D489" s="1" t="str">
        <f t="shared" si="15"/>
        <v>Chair</v>
      </c>
      <c r="E489" t="s">
        <v>2407</v>
      </c>
      <c r="F489">
        <v>3</v>
      </c>
      <c r="G489" s="7">
        <v>346.52</v>
      </c>
      <c r="H489" s="3" t="s">
        <v>2784</v>
      </c>
      <c r="I489" s="3" t="s">
        <v>3067</v>
      </c>
      <c r="J489" s="3" t="s">
        <v>3074</v>
      </c>
      <c r="K489" s="3" t="s">
        <v>3562</v>
      </c>
      <c r="L489" s="3">
        <v>3</v>
      </c>
      <c r="M489" s="10" t="s">
        <v>4275</v>
      </c>
      <c r="N489" s="3" t="s">
        <v>4282</v>
      </c>
      <c r="O489" s="7">
        <v>1039.56</v>
      </c>
      <c r="P489" s="3">
        <f t="shared" si="16"/>
        <v>1039.56</v>
      </c>
    </row>
    <row r="490" spans="1:16" x14ac:dyDescent="0.35">
      <c r="A490" t="s">
        <v>502</v>
      </c>
      <c r="B490" s="5">
        <v>45631</v>
      </c>
      <c r="C490" t="s">
        <v>1702</v>
      </c>
      <c r="D490" s="1" t="str">
        <f t="shared" si="15"/>
        <v>Tablet</v>
      </c>
      <c r="E490" t="s">
        <v>2406</v>
      </c>
      <c r="F490">
        <v>1</v>
      </c>
      <c r="G490" s="7">
        <v>36.65</v>
      </c>
      <c r="H490" s="3" t="s">
        <v>2785</v>
      </c>
      <c r="I490" s="3" t="s">
        <v>3066</v>
      </c>
      <c r="J490" s="3" t="s">
        <v>3071</v>
      </c>
      <c r="K490" s="3" t="s">
        <v>3563</v>
      </c>
      <c r="L490" s="3">
        <v>1</v>
      </c>
      <c r="M490" s="10" t="s">
        <v>4277</v>
      </c>
      <c r="N490" s="3" t="s">
        <v>4280</v>
      </c>
      <c r="O490" s="7">
        <v>36.65</v>
      </c>
      <c r="P490" s="3">
        <f t="shared" si="16"/>
        <v>36.65</v>
      </c>
    </row>
    <row r="491" spans="1:16" x14ac:dyDescent="0.35">
      <c r="A491" t="s">
        <v>503</v>
      </c>
      <c r="B491" s="5">
        <v>45174</v>
      </c>
      <c r="C491" t="s">
        <v>1703</v>
      </c>
      <c r="D491" s="1" t="str">
        <f t="shared" si="15"/>
        <v>Chair</v>
      </c>
      <c r="E491" t="s">
        <v>2405</v>
      </c>
      <c r="F491">
        <v>3</v>
      </c>
      <c r="G491" s="7">
        <v>149.34</v>
      </c>
      <c r="H491" s="3" t="s">
        <v>2637</v>
      </c>
      <c r="I491" s="3" t="s">
        <v>3068</v>
      </c>
      <c r="J491" s="3" t="s">
        <v>3071</v>
      </c>
      <c r="K491" s="3" t="s">
        <v>3564</v>
      </c>
      <c r="L491" s="3">
        <v>7</v>
      </c>
      <c r="M491" s="10" t="s">
        <v>4277</v>
      </c>
      <c r="N491" s="3" t="s">
        <v>4280</v>
      </c>
      <c r="O491" s="7">
        <v>448.02</v>
      </c>
      <c r="P491" s="3">
        <f t="shared" si="16"/>
        <v>448.02</v>
      </c>
    </row>
    <row r="492" spans="1:16" x14ac:dyDescent="0.35">
      <c r="A492" t="s">
        <v>504</v>
      </c>
      <c r="B492" s="5">
        <v>45495</v>
      </c>
      <c r="C492" t="s">
        <v>1704</v>
      </c>
      <c r="D492" s="1" t="str">
        <f t="shared" si="15"/>
        <v>Phone</v>
      </c>
      <c r="E492" t="s">
        <v>2406</v>
      </c>
      <c r="F492">
        <v>5</v>
      </c>
      <c r="G492" s="7">
        <v>467.81</v>
      </c>
      <c r="H492" s="3" t="s">
        <v>2786</v>
      </c>
      <c r="I492" s="3" t="s">
        <v>3066</v>
      </c>
      <c r="J492" s="3" t="s">
        <v>3071</v>
      </c>
      <c r="K492" s="3" t="s">
        <v>3565</v>
      </c>
      <c r="L492" s="3">
        <v>10</v>
      </c>
      <c r="N492" s="3" t="s">
        <v>4281</v>
      </c>
      <c r="O492" s="7">
        <v>2339.0500000000002</v>
      </c>
      <c r="P492" s="3">
        <f t="shared" si="16"/>
        <v>2339.0500000000002</v>
      </c>
    </row>
    <row r="493" spans="1:16" x14ac:dyDescent="0.35">
      <c r="A493" t="s">
        <v>505</v>
      </c>
      <c r="B493" s="5">
        <v>44931</v>
      </c>
      <c r="C493" t="s">
        <v>1705</v>
      </c>
      <c r="D493" s="1" t="str">
        <f t="shared" si="15"/>
        <v>Laptop</v>
      </c>
      <c r="E493" t="s">
        <v>2404</v>
      </c>
      <c r="F493">
        <v>5</v>
      </c>
      <c r="G493" s="7">
        <v>420.7</v>
      </c>
      <c r="H493" s="3" t="s">
        <v>2780</v>
      </c>
      <c r="I493" s="3" t="s">
        <v>3069</v>
      </c>
      <c r="J493" s="3" t="s">
        <v>3074</v>
      </c>
      <c r="K493" s="3" t="s">
        <v>3566</v>
      </c>
      <c r="L493" s="3">
        <v>5</v>
      </c>
      <c r="M493" s="10" t="s">
        <v>4277</v>
      </c>
      <c r="N493" s="3" t="s">
        <v>4281</v>
      </c>
      <c r="O493" s="7">
        <v>2103.5</v>
      </c>
      <c r="P493" s="3">
        <f t="shared" si="16"/>
        <v>2103.5</v>
      </c>
    </row>
    <row r="494" spans="1:16" x14ac:dyDescent="0.35">
      <c r="A494" t="s">
        <v>506</v>
      </c>
      <c r="B494" s="5">
        <v>45224</v>
      </c>
      <c r="C494" t="s">
        <v>1706</v>
      </c>
      <c r="D494" s="1" t="str">
        <f t="shared" si="15"/>
        <v>Phone</v>
      </c>
      <c r="E494" t="s">
        <v>2408</v>
      </c>
      <c r="F494">
        <v>5</v>
      </c>
      <c r="G494" s="7">
        <v>606.52</v>
      </c>
      <c r="H494" s="3" t="s">
        <v>2483</v>
      </c>
      <c r="I494" s="3" t="s">
        <v>3065</v>
      </c>
      <c r="J494" s="3" t="s">
        <v>3070</v>
      </c>
      <c r="K494" s="3" t="s">
        <v>3567</v>
      </c>
      <c r="L494" s="3">
        <v>6</v>
      </c>
      <c r="M494" s="10" t="s">
        <v>4275</v>
      </c>
      <c r="N494" s="3" t="s">
        <v>4278</v>
      </c>
      <c r="O494" s="7">
        <v>3032.6</v>
      </c>
      <c r="P494" s="3">
        <f t="shared" si="16"/>
        <v>3032.6</v>
      </c>
    </row>
    <row r="495" spans="1:16" x14ac:dyDescent="0.35">
      <c r="A495" t="s">
        <v>507</v>
      </c>
      <c r="B495" s="5">
        <v>45685</v>
      </c>
      <c r="C495" t="s">
        <v>1707</v>
      </c>
      <c r="D495" s="1" t="str">
        <f t="shared" si="15"/>
        <v>Laptop</v>
      </c>
      <c r="E495" t="s">
        <v>2404</v>
      </c>
      <c r="F495">
        <v>1</v>
      </c>
      <c r="G495" s="7">
        <v>420.26</v>
      </c>
      <c r="H495" s="3" t="s">
        <v>2787</v>
      </c>
      <c r="I495" s="3" t="s">
        <v>3067</v>
      </c>
      <c r="J495" s="3" t="s">
        <v>3074</v>
      </c>
      <c r="K495" s="3" t="s">
        <v>3568</v>
      </c>
      <c r="L495" s="3">
        <v>4</v>
      </c>
      <c r="M495" s="10" t="s">
        <v>4276</v>
      </c>
      <c r="N495" s="3" t="s">
        <v>4281</v>
      </c>
      <c r="O495" s="7">
        <v>420.26</v>
      </c>
      <c r="P495" s="3">
        <f t="shared" si="16"/>
        <v>420.26</v>
      </c>
    </row>
    <row r="496" spans="1:16" x14ac:dyDescent="0.35">
      <c r="A496" t="s">
        <v>508</v>
      </c>
      <c r="B496" s="5">
        <v>45126</v>
      </c>
      <c r="C496" t="s">
        <v>1708</v>
      </c>
      <c r="D496" s="1" t="str">
        <f t="shared" si="15"/>
        <v>Phone</v>
      </c>
      <c r="E496" t="s">
        <v>2408</v>
      </c>
      <c r="F496">
        <v>3</v>
      </c>
      <c r="G496" s="7">
        <v>505.79</v>
      </c>
      <c r="H496" s="3" t="s">
        <v>2788</v>
      </c>
      <c r="I496" s="3" t="s">
        <v>3065</v>
      </c>
      <c r="J496" s="3" t="s">
        <v>3074</v>
      </c>
      <c r="K496" s="3" t="s">
        <v>3569</v>
      </c>
      <c r="L496" s="3">
        <v>3</v>
      </c>
      <c r="M496" s="10" t="s">
        <v>4276</v>
      </c>
      <c r="N496" s="3" t="s">
        <v>4279</v>
      </c>
      <c r="O496" s="7">
        <v>1517.37</v>
      </c>
      <c r="P496" s="3">
        <f t="shared" si="16"/>
        <v>1517.3700000000001</v>
      </c>
    </row>
    <row r="497" spans="1:16" x14ac:dyDescent="0.35">
      <c r="A497" t="s">
        <v>509</v>
      </c>
      <c r="B497" s="5">
        <v>45813</v>
      </c>
      <c r="C497" t="s">
        <v>1709</v>
      </c>
      <c r="D497" s="1" t="str">
        <f t="shared" si="15"/>
        <v>Printer</v>
      </c>
      <c r="E497" t="s">
        <v>2404</v>
      </c>
      <c r="F497">
        <v>4</v>
      </c>
      <c r="G497" s="7">
        <v>493.73</v>
      </c>
      <c r="H497" s="3" t="s">
        <v>2550</v>
      </c>
      <c r="I497" s="3" t="s">
        <v>3065</v>
      </c>
      <c r="J497" s="3" t="s">
        <v>3074</v>
      </c>
      <c r="K497" s="3" t="s">
        <v>3570</v>
      </c>
      <c r="L497" s="3">
        <v>6</v>
      </c>
      <c r="M497" s="10" t="s">
        <v>4275</v>
      </c>
      <c r="N497" s="3" t="s">
        <v>4281</v>
      </c>
      <c r="O497" s="7">
        <v>1974.92</v>
      </c>
      <c r="P497" s="3">
        <f t="shared" si="16"/>
        <v>1974.92</v>
      </c>
    </row>
    <row r="498" spans="1:16" x14ac:dyDescent="0.35">
      <c r="A498" t="s">
        <v>510</v>
      </c>
      <c r="B498" s="5">
        <v>45730</v>
      </c>
      <c r="C498" t="s">
        <v>1710</v>
      </c>
      <c r="D498" s="1" t="str">
        <f t="shared" si="15"/>
        <v>Printer</v>
      </c>
      <c r="E498" t="s">
        <v>2407</v>
      </c>
      <c r="F498">
        <v>3</v>
      </c>
      <c r="G498" s="7">
        <v>201.21</v>
      </c>
      <c r="H498" s="3" t="s">
        <v>2789</v>
      </c>
      <c r="I498" s="3" t="s">
        <v>3066</v>
      </c>
      <c r="J498" s="3" t="s">
        <v>3071</v>
      </c>
      <c r="K498" s="3" t="s">
        <v>3571</v>
      </c>
      <c r="L498" s="3">
        <v>3</v>
      </c>
      <c r="M498" s="10" t="s">
        <v>4275</v>
      </c>
      <c r="N498" s="3" t="s">
        <v>4282</v>
      </c>
      <c r="O498" s="7">
        <v>603.63</v>
      </c>
      <c r="P498" s="3">
        <f t="shared" si="16"/>
        <v>603.63</v>
      </c>
    </row>
    <row r="499" spans="1:16" x14ac:dyDescent="0.35">
      <c r="A499" t="s">
        <v>511</v>
      </c>
      <c r="B499" s="5">
        <v>45589</v>
      </c>
      <c r="C499" t="s">
        <v>1711</v>
      </c>
      <c r="D499" s="1" t="str">
        <f t="shared" si="15"/>
        <v>Tablet</v>
      </c>
      <c r="E499" t="s">
        <v>2407</v>
      </c>
      <c r="F499">
        <v>3</v>
      </c>
      <c r="G499" s="7">
        <v>112.29</v>
      </c>
      <c r="H499" s="3" t="s">
        <v>2790</v>
      </c>
      <c r="I499" s="3" t="s">
        <v>3068</v>
      </c>
      <c r="J499" s="3" t="s">
        <v>3070</v>
      </c>
      <c r="K499" s="3" t="s">
        <v>3572</v>
      </c>
      <c r="L499" s="3">
        <v>6</v>
      </c>
      <c r="N499" s="3" t="s">
        <v>4282</v>
      </c>
      <c r="O499" s="7">
        <v>336.87</v>
      </c>
      <c r="P499" s="3">
        <f t="shared" si="16"/>
        <v>336.87</v>
      </c>
    </row>
    <row r="500" spans="1:16" x14ac:dyDescent="0.35">
      <c r="A500" t="s">
        <v>512</v>
      </c>
      <c r="B500" s="5">
        <v>45119</v>
      </c>
      <c r="C500" t="s">
        <v>1712</v>
      </c>
      <c r="D500" s="1" t="str">
        <f t="shared" si="15"/>
        <v>Printer</v>
      </c>
      <c r="E500" t="s">
        <v>2405</v>
      </c>
      <c r="F500">
        <v>4</v>
      </c>
      <c r="G500" s="7">
        <v>132.56</v>
      </c>
      <c r="H500" s="3" t="s">
        <v>2622</v>
      </c>
      <c r="I500" s="3" t="s">
        <v>3069</v>
      </c>
      <c r="J500" s="3" t="s">
        <v>3072</v>
      </c>
      <c r="K500" s="3" t="s">
        <v>3573</v>
      </c>
      <c r="L500" s="3">
        <v>8</v>
      </c>
      <c r="M500" s="10" t="s">
        <v>4277</v>
      </c>
      <c r="N500" s="3" t="s">
        <v>4278</v>
      </c>
      <c r="O500" s="7">
        <v>530.24</v>
      </c>
      <c r="P500" s="3">
        <f t="shared" si="16"/>
        <v>530.24</v>
      </c>
    </row>
    <row r="501" spans="1:16" x14ac:dyDescent="0.35">
      <c r="A501" t="s">
        <v>513</v>
      </c>
      <c r="B501" s="5">
        <v>45022</v>
      </c>
      <c r="C501" t="s">
        <v>1713</v>
      </c>
      <c r="D501" s="1" t="str">
        <f t="shared" si="15"/>
        <v>Laptop</v>
      </c>
      <c r="E501" t="s">
        <v>2407</v>
      </c>
      <c r="F501">
        <v>3</v>
      </c>
      <c r="G501" s="7">
        <v>539.46</v>
      </c>
      <c r="H501" s="3" t="s">
        <v>2791</v>
      </c>
      <c r="I501" s="3" t="s">
        <v>3067</v>
      </c>
      <c r="J501" s="3" t="s">
        <v>3070</v>
      </c>
      <c r="K501" s="3" t="s">
        <v>3574</v>
      </c>
      <c r="L501" s="3">
        <v>4</v>
      </c>
      <c r="M501" s="10" t="s">
        <v>4275</v>
      </c>
      <c r="N501" s="3" t="s">
        <v>4281</v>
      </c>
      <c r="O501" s="7">
        <v>1618.38</v>
      </c>
      <c r="P501" s="3">
        <f t="shared" si="16"/>
        <v>1618.38</v>
      </c>
    </row>
    <row r="502" spans="1:16" x14ac:dyDescent="0.35">
      <c r="A502" t="s">
        <v>514</v>
      </c>
      <c r="B502" s="5">
        <v>45389</v>
      </c>
      <c r="C502" t="s">
        <v>1714</v>
      </c>
      <c r="D502" s="1" t="str">
        <f t="shared" si="15"/>
        <v>Desk</v>
      </c>
      <c r="E502" t="s">
        <v>2408</v>
      </c>
      <c r="F502">
        <v>5</v>
      </c>
      <c r="G502" s="7">
        <v>508.59</v>
      </c>
      <c r="H502" s="3" t="s">
        <v>2792</v>
      </c>
      <c r="I502" s="3" t="s">
        <v>3069</v>
      </c>
      <c r="J502" s="3" t="s">
        <v>3072</v>
      </c>
      <c r="K502" s="3" t="s">
        <v>3575</v>
      </c>
      <c r="L502" s="3">
        <v>8</v>
      </c>
      <c r="M502" s="10" t="s">
        <v>4277</v>
      </c>
      <c r="N502" s="3" t="s">
        <v>4281</v>
      </c>
      <c r="O502" s="7">
        <v>2542.9499999999998</v>
      </c>
      <c r="P502" s="3">
        <f t="shared" si="16"/>
        <v>2542.9499999999998</v>
      </c>
    </row>
    <row r="503" spans="1:16" x14ac:dyDescent="0.35">
      <c r="A503" t="s">
        <v>515</v>
      </c>
      <c r="B503" s="5">
        <v>45326</v>
      </c>
      <c r="C503" t="s">
        <v>1715</v>
      </c>
      <c r="D503" s="1" t="str">
        <f t="shared" si="15"/>
        <v>Monitor</v>
      </c>
      <c r="E503" t="s">
        <v>2409</v>
      </c>
      <c r="F503">
        <v>4</v>
      </c>
      <c r="G503" s="7">
        <v>203.46</v>
      </c>
      <c r="H503" s="3" t="s">
        <v>2559</v>
      </c>
      <c r="I503" s="3" t="s">
        <v>3067</v>
      </c>
      <c r="J503" s="3" t="s">
        <v>3074</v>
      </c>
      <c r="K503" s="3" t="s">
        <v>3576</v>
      </c>
      <c r="L503" s="3">
        <v>7</v>
      </c>
      <c r="M503" s="10" t="s">
        <v>4275</v>
      </c>
      <c r="N503" s="3" t="s">
        <v>4279</v>
      </c>
      <c r="O503" s="7">
        <v>813.84</v>
      </c>
      <c r="P503" s="3">
        <f t="shared" si="16"/>
        <v>813.84</v>
      </c>
    </row>
    <row r="504" spans="1:16" x14ac:dyDescent="0.35">
      <c r="A504" t="s">
        <v>516</v>
      </c>
      <c r="B504" s="5">
        <v>45066</v>
      </c>
      <c r="C504" t="s">
        <v>1716</v>
      </c>
      <c r="D504" s="1" t="str">
        <f t="shared" si="15"/>
        <v>Tablet</v>
      </c>
      <c r="E504" t="s">
        <v>2403</v>
      </c>
      <c r="F504">
        <v>3</v>
      </c>
      <c r="G504" s="7">
        <v>565.25</v>
      </c>
      <c r="H504" s="3" t="s">
        <v>2793</v>
      </c>
      <c r="I504" s="3" t="s">
        <v>3065</v>
      </c>
      <c r="J504" s="3" t="s">
        <v>3072</v>
      </c>
      <c r="K504" s="3" t="s">
        <v>3577</v>
      </c>
      <c r="L504" s="3">
        <v>7</v>
      </c>
      <c r="M504" s="10" t="s">
        <v>4275</v>
      </c>
      <c r="N504" s="3" t="s">
        <v>4280</v>
      </c>
      <c r="O504" s="7">
        <v>1695.75</v>
      </c>
      <c r="P504" s="3">
        <f t="shared" si="16"/>
        <v>1695.75</v>
      </c>
    </row>
    <row r="505" spans="1:16" x14ac:dyDescent="0.35">
      <c r="A505" t="s">
        <v>517</v>
      </c>
      <c r="B505" s="5">
        <v>45169</v>
      </c>
      <c r="C505" t="s">
        <v>1717</v>
      </c>
      <c r="D505" s="1" t="str">
        <f t="shared" si="15"/>
        <v>Monitor</v>
      </c>
      <c r="E505" t="s">
        <v>2405</v>
      </c>
      <c r="F505">
        <v>3</v>
      </c>
      <c r="G505" s="7">
        <v>136.84</v>
      </c>
      <c r="H505" s="3" t="s">
        <v>2794</v>
      </c>
      <c r="I505" s="3" t="s">
        <v>3066</v>
      </c>
      <c r="J505" s="3" t="s">
        <v>3074</v>
      </c>
      <c r="K505" s="3" t="s">
        <v>3578</v>
      </c>
      <c r="L505" s="3">
        <v>4</v>
      </c>
      <c r="M505" s="10" t="s">
        <v>4276</v>
      </c>
      <c r="N505" s="3" t="s">
        <v>4281</v>
      </c>
      <c r="O505" s="7">
        <v>410.52</v>
      </c>
      <c r="P505" s="3">
        <f t="shared" si="16"/>
        <v>410.52</v>
      </c>
    </row>
    <row r="506" spans="1:16" x14ac:dyDescent="0.35">
      <c r="A506" t="s">
        <v>518</v>
      </c>
      <c r="B506" s="5">
        <v>45819</v>
      </c>
      <c r="C506" t="s">
        <v>1718</v>
      </c>
      <c r="D506" s="1" t="str">
        <f t="shared" si="15"/>
        <v>Printer</v>
      </c>
      <c r="E506" t="s">
        <v>2403</v>
      </c>
      <c r="F506">
        <v>2</v>
      </c>
      <c r="G506" s="7">
        <v>464.5</v>
      </c>
      <c r="H506" s="3" t="s">
        <v>2795</v>
      </c>
      <c r="I506" s="3" t="s">
        <v>3066</v>
      </c>
      <c r="J506" s="3" t="s">
        <v>3071</v>
      </c>
      <c r="K506" s="3" t="s">
        <v>3579</v>
      </c>
      <c r="L506" s="3">
        <v>2</v>
      </c>
      <c r="M506" s="10" t="s">
        <v>4277</v>
      </c>
      <c r="N506" s="3" t="s">
        <v>4278</v>
      </c>
      <c r="O506" s="7">
        <v>929</v>
      </c>
      <c r="P506" s="3">
        <f t="shared" si="16"/>
        <v>929</v>
      </c>
    </row>
    <row r="507" spans="1:16" x14ac:dyDescent="0.35">
      <c r="A507" t="s">
        <v>519</v>
      </c>
      <c r="B507" s="5">
        <v>45088</v>
      </c>
      <c r="C507" t="s">
        <v>1719</v>
      </c>
      <c r="D507" s="1" t="str">
        <f t="shared" si="15"/>
        <v>Monitor</v>
      </c>
      <c r="E507" t="s">
        <v>2407</v>
      </c>
      <c r="F507">
        <v>2</v>
      </c>
      <c r="G507" s="7">
        <v>434.97</v>
      </c>
      <c r="H507" s="3" t="s">
        <v>2727</v>
      </c>
      <c r="I507" s="3" t="s">
        <v>3066</v>
      </c>
      <c r="J507" s="3" t="s">
        <v>3070</v>
      </c>
      <c r="K507" s="3" t="s">
        <v>3580</v>
      </c>
      <c r="L507" s="3">
        <v>7</v>
      </c>
      <c r="N507" s="3" t="s">
        <v>4280</v>
      </c>
      <c r="O507" s="7">
        <v>869.94</v>
      </c>
      <c r="P507" s="3">
        <f t="shared" si="16"/>
        <v>869.94</v>
      </c>
    </row>
    <row r="508" spans="1:16" x14ac:dyDescent="0.35">
      <c r="A508" t="s">
        <v>520</v>
      </c>
      <c r="B508" s="5">
        <v>45132</v>
      </c>
      <c r="C508" t="s">
        <v>1720</v>
      </c>
      <c r="D508" s="1" t="str">
        <f t="shared" si="15"/>
        <v>Phone</v>
      </c>
      <c r="E508" t="s">
        <v>2403</v>
      </c>
      <c r="F508">
        <v>2</v>
      </c>
      <c r="G508" s="7">
        <v>43.67</v>
      </c>
      <c r="H508" s="3" t="s">
        <v>2796</v>
      </c>
      <c r="I508" s="3" t="s">
        <v>3069</v>
      </c>
      <c r="J508" s="3" t="s">
        <v>3072</v>
      </c>
      <c r="K508" s="3" t="s">
        <v>3581</v>
      </c>
      <c r="L508" s="3">
        <v>4</v>
      </c>
      <c r="M508" s="10" t="s">
        <v>4277</v>
      </c>
      <c r="N508" s="3" t="s">
        <v>4278</v>
      </c>
      <c r="O508" s="7">
        <v>87.34</v>
      </c>
      <c r="P508" s="3">
        <f t="shared" si="16"/>
        <v>87.34</v>
      </c>
    </row>
    <row r="509" spans="1:16" x14ac:dyDescent="0.35">
      <c r="A509" t="s">
        <v>521</v>
      </c>
      <c r="B509" s="5">
        <v>45112</v>
      </c>
      <c r="C509" t="s">
        <v>1721</v>
      </c>
      <c r="D509" s="1" t="str">
        <f t="shared" si="15"/>
        <v>Phone</v>
      </c>
      <c r="E509" t="s">
        <v>2404</v>
      </c>
      <c r="F509">
        <v>1</v>
      </c>
      <c r="G509" s="7">
        <v>171.59</v>
      </c>
      <c r="H509" s="3" t="s">
        <v>2684</v>
      </c>
      <c r="I509" s="3" t="s">
        <v>3067</v>
      </c>
      <c r="J509" s="3" t="s">
        <v>3074</v>
      </c>
      <c r="K509" s="3" t="s">
        <v>3582</v>
      </c>
      <c r="L509" s="3">
        <v>5</v>
      </c>
      <c r="M509" s="10" t="s">
        <v>4277</v>
      </c>
      <c r="N509" s="3" t="s">
        <v>4280</v>
      </c>
      <c r="O509" s="7">
        <v>171.59</v>
      </c>
      <c r="P509" s="3">
        <f t="shared" si="16"/>
        <v>171.59</v>
      </c>
    </row>
    <row r="510" spans="1:16" x14ac:dyDescent="0.35">
      <c r="A510" t="s">
        <v>522</v>
      </c>
      <c r="B510" s="5">
        <v>45791</v>
      </c>
      <c r="C510" t="s">
        <v>1722</v>
      </c>
      <c r="D510" s="1" t="str">
        <f t="shared" si="15"/>
        <v>Laptop</v>
      </c>
      <c r="E510" t="s">
        <v>2404</v>
      </c>
      <c r="F510">
        <v>1</v>
      </c>
      <c r="G510" s="7">
        <v>558.27</v>
      </c>
      <c r="H510" s="3" t="s">
        <v>2797</v>
      </c>
      <c r="I510" s="3" t="s">
        <v>3066</v>
      </c>
      <c r="J510" s="3" t="s">
        <v>3073</v>
      </c>
      <c r="K510" s="3" t="s">
        <v>3583</v>
      </c>
      <c r="L510" s="3">
        <v>1</v>
      </c>
      <c r="N510" s="3" t="s">
        <v>4279</v>
      </c>
      <c r="O510" s="7">
        <v>558.27</v>
      </c>
      <c r="P510" s="3">
        <f t="shared" si="16"/>
        <v>558.27</v>
      </c>
    </row>
    <row r="511" spans="1:16" x14ac:dyDescent="0.35">
      <c r="A511" t="s">
        <v>523</v>
      </c>
      <c r="B511" s="5">
        <v>44972</v>
      </c>
      <c r="C511" t="s">
        <v>1723</v>
      </c>
      <c r="D511" s="1" t="str">
        <f t="shared" si="15"/>
        <v>Printer</v>
      </c>
      <c r="E511" t="s">
        <v>2408</v>
      </c>
      <c r="F511">
        <v>2</v>
      </c>
      <c r="G511" s="7">
        <v>425.03</v>
      </c>
      <c r="H511" s="3" t="s">
        <v>2798</v>
      </c>
      <c r="I511" s="3" t="s">
        <v>3069</v>
      </c>
      <c r="J511" s="3" t="s">
        <v>3072</v>
      </c>
      <c r="K511" s="3" t="s">
        <v>3584</v>
      </c>
      <c r="L511" s="3">
        <v>2</v>
      </c>
      <c r="M511" s="10" t="s">
        <v>4277</v>
      </c>
      <c r="N511" s="3" t="s">
        <v>4282</v>
      </c>
      <c r="O511" s="7">
        <v>850.06</v>
      </c>
      <c r="P511" s="3">
        <f t="shared" si="16"/>
        <v>850.06</v>
      </c>
    </row>
    <row r="512" spans="1:16" x14ac:dyDescent="0.35">
      <c r="A512" t="s">
        <v>524</v>
      </c>
      <c r="B512" s="5">
        <v>45642</v>
      </c>
      <c r="C512" t="s">
        <v>1724</v>
      </c>
      <c r="D512" s="1" t="str">
        <f t="shared" si="15"/>
        <v>Monitor</v>
      </c>
      <c r="E512" t="s">
        <v>2407</v>
      </c>
      <c r="F512">
        <v>1</v>
      </c>
      <c r="G512" s="7">
        <v>376.76</v>
      </c>
      <c r="H512" s="3" t="s">
        <v>2799</v>
      </c>
      <c r="I512" s="3" t="s">
        <v>3065</v>
      </c>
      <c r="J512" s="3" t="s">
        <v>3073</v>
      </c>
      <c r="K512" s="3" t="s">
        <v>3585</v>
      </c>
      <c r="L512" s="3">
        <v>5</v>
      </c>
      <c r="M512" s="10" t="s">
        <v>4275</v>
      </c>
      <c r="N512" s="3" t="s">
        <v>4280</v>
      </c>
      <c r="O512" s="7">
        <v>376.76</v>
      </c>
      <c r="P512" s="3">
        <f t="shared" si="16"/>
        <v>376.76</v>
      </c>
    </row>
    <row r="513" spans="1:16" x14ac:dyDescent="0.35">
      <c r="A513" t="s">
        <v>525</v>
      </c>
      <c r="B513" s="5">
        <v>45366</v>
      </c>
      <c r="C513" t="s">
        <v>1725</v>
      </c>
      <c r="D513" s="1" t="str">
        <f t="shared" si="15"/>
        <v>Desk</v>
      </c>
      <c r="E513" t="s">
        <v>2403</v>
      </c>
      <c r="F513">
        <v>5</v>
      </c>
      <c r="G513" s="7">
        <v>575.24</v>
      </c>
      <c r="H513" s="3" t="s">
        <v>2450</v>
      </c>
      <c r="I513" s="3" t="s">
        <v>3069</v>
      </c>
      <c r="J513" s="3" t="s">
        <v>3073</v>
      </c>
      <c r="K513" s="3" t="s">
        <v>3586</v>
      </c>
      <c r="L513" s="3">
        <v>7</v>
      </c>
      <c r="M513" s="10" t="s">
        <v>4277</v>
      </c>
      <c r="N513" s="3" t="s">
        <v>4280</v>
      </c>
      <c r="O513" s="7">
        <v>2876.2</v>
      </c>
      <c r="P513" s="3">
        <f t="shared" si="16"/>
        <v>2876.2</v>
      </c>
    </row>
    <row r="514" spans="1:16" x14ac:dyDescent="0.35">
      <c r="A514" t="s">
        <v>526</v>
      </c>
      <c r="B514" s="5">
        <v>45562</v>
      </c>
      <c r="C514" t="s">
        <v>1726</v>
      </c>
      <c r="D514" s="1" t="str">
        <f t="shared" ref="D514:D577" si="17">PROPER(TRIM(E515))</f>
        <v>Tablet</v>
      </c>
      <c r="E514" t="s">
        <v>2409</v>
      </c>
      <c r="F514">
        <v>3</v>
      </c>
      <c r="G514" s="7">
        <v>568.02</v>
      </c>
      <c r="H514" s="3" t="s">
        <v>2662</v>
      </c>
      <c r="I514" s="3" t="s">
        <v>3066</v>
      </c>
      <c r="J514" s="3" t="s">
        <v>3074</v>
      </c>
      <c r="K514" s="3" t="s">
        <v>3587</v>
      </c>
      <c r="L514" s="3">
        <v>3</v>
      </c>
      <c r="M514" s="10" t="s">
        <v>4276</v>
      </c>
      <c r="N514" s="3" t="s">
        <v>4278</v>
      </c>
      <c r="O514" s="7">
        <v>1704.06</v>
      </c>
      <c r="P514" s="3">
        <f t="shared" si="16"/>
        <v>1704.06</v>
      </c>
    </row>
    <row r="515" spans="1:16" x14ac:dyDescent="0.35">
      <c r="A515" t="s">
        <v>527</v>
      </c>
      <c r="B515" s="5">
        <v>45697</v>
      </c>
      <c r="C515" t="s">
        <v>1727</v>
      </c>
      <c r="D515" s="1" t="str">
        <f t="shared" si="17"/>
        <v>Printer</v>
      </c>
      <c r="E515" t="s">
        <v>2405</v>
      </c>
      <c r="F515">
        <v>3</v>
      </c>
      <c r="G515" s="7">
        <v>94.88</v>
      </c>
      <c r="H515" s="3" t="s">
        <v>2501</v>
      </c>
      <c r="I515" s="3" t="s">
        <v>3068</v>
      </c>
      <c r="J515" s="3" t="s">
        <v>3070</v>
      </c>
      <c r="K515" s="3" t="s">
        <v>3588</v>
      </c>
      <c r="L515" s="3">
        <v>8</v>
      </c>
      <c r="N515" s="3" t="s">
        <v>4279</v>
      </c>
      <c r="O515" s="7">
        <v>284.64</v>
      </c>
      <c r="P515" s="3">
        <f t="shared" ref="P515:P578" si="18">G515*F515</f>
        <v>284.64</v>
      </c>
    </row>
    <row r="516" spans="1:16" x14ac:dyDescent="0.35">
      <c r="A516" t="s">
        <v>528</v>
      </c>
      <c r="B516" s="5">
        <v>45032</v>
      </c>
      <c r="C516" t="s">
        <v>1728</v>
      </c>
      <c r="D516" s="1" t="str">
        <f t="shared" si="17"/>
        <v>Phone</v>
      </c>
      <c r="E516" t="s">
        <v>2407</v>
      </c>
      <c r="F516">
        <v>3</v>
      </c>
      <c r="G516" s="7">
        <v>304.14999999999998</v>
      </c>
      <c r="H516" s="3" t="s">
        <v>2764</v>
      </c>
      <c r="I516" s="3" t="s">
        <v>3068</v>
      </c>
      <c r="J516" s="3" t="s">
        <v>3070</v>
      </c>
      <c r="K516" s="3" t="s">
        <v>3589</v>
      </c>
      <c r="L516" s="3">
        <v>3</v>
      </c>
      <c r="M516" s="10" t="s">
        <v>4277</v>
      </c>
      <c r="N516" s="3" t="s">
        <v>4278</v>
      </c>
      <c r="O516" s="7">
        <v>912.44999999999993</v>
      </c>
      <c r="P516" s="3">
        <f t="shared" si="18"/>
        <v>912.44999999999993</v>
      </c>
    </row>
    <row r="517" spans="1:16" x14ac:dyDescent="0.35">
      <c r="A517" t="s">
        <v>529</v>
      </c>
      <c r="B517" s="5">
        <v>44999</v>
      </c>
      <c r="C517" t="s">
        <v>1729</v>
      </c>
      <c r="D517" s="1" t="str">
        <f t="shared" si="17"/>
        <v>Monitor</v>
      </c>
      <c r="E517" t="s">
        <v>2404</v>
      </c>
      <c r="F517">
        <v>3</v>
      </c>
      <c r="G517" s="7">
        <v>553.52</v>
      </c>
      <c r="H517" s="3" t="s">
        <v>2762</v>
      </c>
      <c r="I517" s="3" t="s">
        <v>3068</v>
      </c>
      <c r="J517" s="3" t="s">
        <v>3070</v>
      </c>
      <c r="K517" s="3" t="s">
        <v>3590</v>
      </c>
      <c r="L517" s="3">
        <v>4</v>
      </c>
      <c r="M517" s="10" t="s">
        <v>4276</v>
      </c>
      <c r="N517" s="3" t="s">
        <v>4281</v>
      </c>
      <c r="O517" s="7">
        <v>1660.56</v>
      </c>
      <c r="P517" s="3">
        <f t="shared" si="18"/>
        <v>1660.56</v>
      </c>
    </row>
    <row r="518" spans="1:16" x14ac:dyDescent="0.35">
      <c r="A518" t="s">
        <v>530</v>
      </c>
      <c r="B518" s="5">
        <v>45389</v>
      </c>
      <c r="C518" t="s">
        <v>1730</v>
      </c>
      <c r="D518" s="1" t="str">
        <f t="shared" si="17"/>
        <v>Tablet</v>
      </c>
      <c r="E518" t="s">
        <v>2403</v>
      </c>
      <c r="F518">
        <v>3</v>
      </c>
      <c r="G518" s="7">
        <v>166.99</v>
      </c>
      <c r="H518" s="3" t="s">
        <v>2659</v>
      </c>
      <c r="I518" s="3" t="s">
        <v>3069</v>
      </c>
      <c r="J518" s="3" t="s">
        <v>3072</v>
      </c>
      <c r="K518" s="3" t="s">
        <v>3591</v>
      </c>
      <c r="L518" s="3">
        <v>8</v>
      </c>
      <c r="N518" s="3" t="s">
        <v>4281</v>
      </c>
      <c r="O518" s="7">
        <v>500.97</v>
      </c>
      <c r="P518" s="3">
        <f t="shared" si="18"/>
        <v>500.97</v>
      </c>
    </row>
    <row r="519" spans="1:16" x14ac:dyDescent="0.35">
      <c r="A519" t="s">
        <v>531</v>
      </c>
      <c r="B519" s="5">
        <v>45391</v>
      </c>
      <c r="C519" t="s">
        <v>1731</v>
      </c>
      <c r="D519" s="1" t="str">
        <f t="shared" si="17"/>
        <v>Printer</v>
      </c>
      <c r="E519" t="s">
        <v>2405</v>
      </c>
      <c r="F519">
        <v>4</v>
      </c>
      <c r="G519" s="7">
        <v>198.35</v>
      </c>
      <c r="H519" s="3" t="s">
        <v>2781</v>
      </c>
      <c r="I519" s="3" t="s">
        <v>3069</v>
      </c>
      <c r="J519" s="3" t="s">
        <v>3071</v>
      </c>
      <c r="K519" s="3" t="s">
        <v>3592</v>
      </c>
      <c r="L519" s="3">
        <v>7</v>
      </c>
      <c r="M519" s="10" t="s">
        <v>4276</v>
      </c>
      <c r="N519" s="3" t="s">
        <v>4282</v>
      </c>
      <c r="O519" s="7">
        <v>793.4</v>
      </c>
      <c r="P519" s="3">
        <f t="shared" si="18"/>
        <v>793.4</v>
      </c>
    </row>
    <row r="520" spans="1:16" x14ac:dyDescent="0.35">
      <c r="A520" t="s">
        <v>532</v>
      </c>
      <c r="B520" s="5">
        <v>45821</v>
      </c>
      <c r="C520" t="s">
        <v>1732</v>
      </c>
      <c r="D520" s="1" t="str">
        <f t="shared" si="17"/>
        <v>Laptop</v>
      </c>
      <c r="E520" t="s">
        <v>2407</v>
      </c>
      <c r="F520">
        <v>4</v>
      </c>
      <c r="G520" s="7">
        <v>403.58</v>
      </c>
      <c r="H520" s="3" t="s">
        <v>2732</v>
      </c>
      <c r="I520" s="3" t="s">
        <v>3066</v>
      </c>
      <c r="J520" s="3" t="s">
        <v>3074</v>
      </c>
      <c r="K520" s="3" t="s">
        <v>3593</v>
      </c>
      <c r="L520" s="3">
        <v>9</v>
      </c>
      <c r="M520" s="10" t="s">
        <v>4275</v>
      </c>
      <c r="N520" s="3" t="s">
        <v>4279</v>
      </c>
      <c r="O520" s="7">
        <v>1614.32</v>
      </c>
      <c r="P520" s="3">
        <f t="shared" si="18"/>
        <v>1614.32</v>
      </c>
    </row>
    <row r="521" spans="1:16" x14ac:dyDescent="0.35">
      <c r="A521" t="s">
        <v>533</v>
      </c>
      <c r="B521" s="5">
        <v>45787</v>
      </c>
      <c r="C521" t="s">
        <v>1733</v>
      </c>
      <c r="D521" s="1" t="str">
        <f t="shared" si="17"/>
        <v>Monitor</v>
      </c>
      <c r="E521" t="s">
        <v>2408</v>
      </c>
      <c r="F521">
        <v>4</v>
      </c>
      <c r="G521" s="7">
        <v>464.29</v>
      </c>
      <c r="H521" s="3" t="s">
        <v>2800</v>
      </c>
      <c r="I521" s="3" t="s">
        <v>3065</v>
      </c>
      <c r="J521" s="3" t="s">
        <v>3072</v>
      </c>
      <c r="K521" s="3" t="s">
        <v>3594</v>
      </c>
      <c r="L521" s="3">
        <v>5</v>
      </c>
      <c r="M521" s="10" t="s">
        <v>4275</v>
      </c>
      <c r="N521" s="3" t="s">
        <v>4280</v>
      </c>
      <c r="O521" s="7">
        <v>1857.16</v>
      </c>
      <c r="P521" s="3">
        <f t="shared" si="18"/>
        <v>1857.16</v>
      </c>
    </row>
    <row r="522" spans="1:16" x14ac:dyDescent="0.35">
      <c r="A522" t="s">
        <v>534</v>
      </c>
      <c r="B522" s="5">
        <v>44995</v>
      </c>
      <c r="C522" t="s">
        <v>1734</v>
      </c>
      <c r="D522" s="1" t="str">
        <f t="shared" si="17"/>
        <v>Phone</v>
      </c>
      <c r="E522" t="s">
        <v>2403</v>
      </c>
      <c r="F522">
        <v>3</v>
      </c>
      <c r="G522" s="7">
        <v>635.98</v>
      </c>
      <c r="H522" s="3" t="s">
        <v>2801</v>
      </c>
      <c r="I522" s="3" t="s">
        <v>3069</v>
      </c>
      <c r="J522" s="3" t="s">
        <v>3072</v>
      </c>
      <c r="K522" s="3" t="s">
        <v>3595</v>
      </c>
      <c r="L522" s="3">
        <v>5</v>
      </c>
      <c r="N522" s="3" t="s">
        <v>4279</v>
      </c>
      <c r="O522" s="7">
        <v>1907.94</v>
      </c>
      <c r="P522" s="3">
        <f t="shared" si="18"/>
        <v>1907.94</v>
      </c>
    </row>
    <row r="523" spans="1:16" x14ac:dyDescent="0.35">
      <c r="A523" t="s">
        <v>535</v>
      </c>
      <c r="B523" s="5">
        <v>45347</v>
      </c>
      <c r="C523" t="s">
        <v>1735</v>
      </c>
      <c r="D523" s="1" t="str">
        <f t="shared" si="17"/>
        <v>Chair</v>
      </c>
      <c r="E523" t="s">
        <v>2404</v>
      </c>
      <c r="F523">
        <v>1</v>
      </c>
      <c r="G523" s="7">
        <v>528.05999999999995</v>
      </c>
      <c r="H523" s="3" t="s">
        <v>2802</v>
      </c>
      <c r="I523" s="3" t="s">
        <v>3067</v>
      </c>
      <c r="J523" s="3" t="s">
        <v>3070</v>
      </c>
      <c r="K523" s="3" t="s">
        <v>3596</v>
      </c>
      <c r="L523" s="3">
        <v>2</v>
      </c>
      <c r="N523" s="3" t="s">
        <v>4281</v>
      </c>
      <c r="O523" s="7">
        <v>528.05999999999995</v>
      </c>
      <c r="P523" s="3">
        <f t="shared" si="18"/>
        <v>528.05999999999995</v>
      </c>
    </row>
    <row r="524" spans="1:16" x14ac:dyDescent="0.35">
      <c r="A524" t="s">
        <v>536</v>
      </c>
      <c r="B524" s="5">
        <v>45402</v>
      </c>
      <c r="C524" t="s">
        <v>1736</v>
      </c>
      <c r="D524" s="1" t="str">
        <f t="shared" si="17"/>
        <v>Desk</v>
      </c>
      <c r="E524" t="s">
        <v>2406</v>
      </c>
      <c r="F524">
        <v>1</v>
      </c>
      <c r="G524" s="7">
        <v>515.32000000000005</v>
      </c>
      <c r="H524" s="3" t="s">
        <v>2650</v>
      </c>
      <c r="I524" s="3" t="s">
        <v>3068</v>
      </c>
      <c r="J524" s="3" t="s">
        <v>3071</v>
      </c>
      <c r="K524" s="3" t="s">
        <v>3597</v>
      </c>
      <c r="L524" s="3">
        <v>1</v>
      </c>
      <c r="M524" s="10" t="s">
        <v>4276</v>
      </c>
      <c r="N524" s="3" t="s">
        <v>4280</v>
      </c>
      <c r="O524" s="7">
        <v>515.32000000000005</v>
      </c>
      <c r="P524" s="3">
        <f t="shared" si="18"/>
        <v>515.32000000000005</v>
      </c>
    </row>
    <row r="525" spans="1:16" x14ac:dyDescent="0.35">
      <c r="A525" t="s">
        <v>537</v>
      </c>
      <c r="B525" s="5">
        <v>45706</v>
      </c>
      <c r="C525" t="s">
        <v>1737</v>
      </c>
      <c r="D525" s="1" t="str">
        <f t="shared" si="17"/>
        <v>Phone</v>
      </c>
      <c r="E525" t="s">
        <v>2409</v>
      </c>
      <c r="F525">
        <v>4</v>
      </c>
      <c r="G525" s="7">
        <v>657.79</v>
      </c>
      <c r="H525" s="3" t="s">
        <v>2741</v>
      </c>
      <c r="I525" s="3" t="s">
        <v>3067</v>
      </c>
      <c r="J525" s="3" t="s">
        <v>3072</v>
      </c>
      <c r="K525" s="3" t="s">
        <v>3598</v>
      </c>
      <c r="L525" s="3">
        <v>6</v>
      </c>
      <c r="M525" s="10" t="s">
        <v>4277</v>
      </c>
      <c r="N525" s="3" t="s">
        <v>4282</v>
      </c>
      <c r="O525" s="7">
        <v>2631.16</v>
      </c>
      <c r="P525" s="3">
        <f t="shared" si="18"/>
        <v>2631.16</v>
      </c>
    </row>
    <row r="526" spans="1:16" x14ac:dyDescent="0.35">
      <c r="A526" t="s">
        <v>538</v>
      </c>
      <c r="B526" s="5">
        <v>45224</v>
      </c>
      <c r="C526" t="s">
        <v>1738</v>
      </c>
      <c r="D526" s="1" t="str">
        <f t="shared" si="17"/>
        <v>Monitor</v>
      </c>
      <c r="E526" t="s">
        <v>2404</v>
      </c>
      <c r="F526">
        <v>1</v>
      </c>
      <c r="G526" s="7">
        <v>153</v>
      </c>
      <c r="H526" s="3" t="s">
        <v>2483</v>
      </c>
      <c r="I526" s="3" t="s">
        <v>3067</v>
      </c>
      <c r="J526" s="3" t="s">
        <v>3072</v>
      </c>
      <c r="K526" s="3" t="s">
        <v>3599</v>
      </c>
      <c r="L526" s="3">
        <v>4</v>
      </c>
      <c r="N526" s="3" t="s">
        <v>4279</v>
      </c>
      <c r="O526" s="7">
        <v>153</v>
      </c>
      <c r="P526" s="3">
        <f t="shared" si="18"/>
        <v>153</v>
      </c>
    </row>
    <row r="527" spans="1:16" x14ac:dyDescent="0.35">
      <c r="A527" t="s">
        <v>539</v>
      </c>
      <c r="B527" s="5">
        <v>45263</v>
      </c>
      <c r="C527" t="s">
        <v>1739</v>
      </c>
      <c r="D527" s="1" t="str">
        <f t="shared" si="17"/>
        <v>Desk</v>
      </c>
      <c r="E527" t="s">
        <v>2403</v>
      </c>
      <c r="F527">
        <v>1</v>
      </c>
      <c r="G527" s="7">
        <v>668.48</v>
      </c>
      <c r="H527" s="3" t="s">
        <v>2762</v>
      </c>
      <c r="I527" s="3" t="s">
        <v>3065</v>
      </c>
      <c r="J527" s="3" t="s">
        <v>3070</v>
      </c>
      <c r="K527" s="3" t="s">
        <v>3600</v>
      </c>
      <c r="L527" s="3">
        <v>1</v>
      </c>
      <c r="M527" s="10" t="s">
        <v>4275</v>
      </c>
      <c r="N527" s="3" t="s">
        <v>4280</v>
      </c>
      <c r="O527" s="7">
        <v>668.48</v>
      </c>
      <c r="P527" s="3">
        <f t="shared" si="18"/>
        <v>668.48</v>
      </c>
    </row>
    <row r="528" spans="1:16" x14ac:dyDescent="0.35">
      <c r="A528" t="s">
        <v>540</v>
      </c>
      <c r="B528" s="5">
        <v>45351</v>
      </c>
      <c r="C528" t="s">
        <v>1740</v>
      </c>
      <c r="D528" s="1" t="str">
        <f t="shared" si="17"/>
        <v>Chair</v>
      </c>
      <c r="E528" t="s">
        <v>2409</v>
      </c>
      <c r="F528">
        <v>2</v>
      </c>
      <c r="G528" s="7">
        <v>46.5</v>
      </c>
      <c r="H528" s="3" t="s">
        <v>2497</v>
      </c>
      <c r="I528" s="3" t="s">
        <v>3069</v>
      </c>
      <c r="J528" s="3" t="s">
        <v>3072</v>
      </c>
      <c r="K528" s="3" t="s">
        <v>3601</v>
      </c>
      <c r="L528" s="3">
        <v>7</v>
      </c>
      <c r="M528" s="10" t="s">
        <v>4277</v>
      </c>
      <c r="N528" s="3" t="s">
        <v>4282</v>
      </c>
      <c r="O528" s="7">
        <v>93</v>
      </c>
      <c r="P528" s="3">
        <f t="shared" si="18"/>
        <v>93</v>
      </c>
    </row>
    <row r="529" spans="1:16" x14ac:dyDescent="0.35">
      <c r="A529" t="s">
        <v>541</v>
      </c>
      <c r="B529" s="5">
        <v>45523</v>
      </c>
      <c r="C529" t="s">
        <v>1741</v>
      </c>
      <c r="D529" s="1" t="str">
        <f t="shared" si="17"/>
        <v>Chair</v>
      </c>
      <c r="E529" t="s">
        <v>2406</v>
      </c>
      <c r="F529">
        <v>5</v>
      </c>
      <c r="G529" s="7">
        <v>653.47</v>
      </c>
      <c r="H529" s="3" t="s">
        <v>2488</v>
      </c>
      <c r="I529" s="3" t="s">
        <v>3067</v>
      </c>
      <c r="J529" s="3" t="s">
        <v>3071</v>
      </c>
      <c r="K529" s="3" t="s">
        <v>3602</v>
      </c>
      <c r="L529" s="3">
        <v>10</v>
      </c>
      <c r="M529" s="10" t="s">
        <v>4275</v>
      </c>
      <c r="N529" s="3" t="s">
        <v>4279</v>
      </c>
      <c r="O529" s="7">
        <v>3267.35</v>
      </c>
      <c r="P529" s="3">
        <f t="shared" si="18"/>
        <v>3267.3500000000004</v>
      </c>
    </row>
    <row r="530" spans="1:16" x14ac:dyDescent="0.35">
      <c r="A530" t="s">
        <v>542</v>
      </c>
      <c r="B530" s="5">
        <v>45714</v>
      </c>
      <c r="C530" t="s">
        <v>1742</v>
      </c>
      <c r="D530" s="1" t="str">
        <f t="shared" si="17"/>
        <v>Tablet</v>
      </c>
      <c r="E530" t="s">
        <v>2406</v>
      </c>
      <c r="F530">
        <v>1</v>
      </c>
      <c r="G530" s="7">
        <v>628.89</v>
      </c>
      <c r="H530" s="3" t="s">
        <v>2765</v>
      </c>
      <c r="I530" s="3" t="s">
        <v>3067</v>
      </c>
      <c r="J530" s="3" t="s">
        <v>3072</v>
      </c>
      <c r="K530" s="3" t="s">
        <v>3603</v>
      </c>
      <c r="L530" s="3">
        <v>2</v>
      </c>
      <c r="M530" s="10" t="s">
        <v>4275</v>
      </c>
      <c r="N530" s="3" t="s">
        <v>4279</v>
      </c>
      <c r="O530" s="7">
        <v>628.89</v>
      </c>
      <c r="P530" s="3">
        <f t="shared" si="18"/>
        <v>628.89</v>
      </c>
    </row>
    <row r="531" spans="1:16" x14ac:dyDescent="0.35">
      <c r="A531" t="s">
        <v>543</v>
      </c>
      <c r="B531" s="5">
        <v>45389</v>
      </c>
      <c r="C531" t="s">
        <v>1743</v>
      </c>
      <c r="D531" s="1" t="str">
        <f t="shared" si="17"/>
        <v>Chair</v>
      </c>
      <c r="E531" t="s">
        <v>2405</v>
      </c>
      <c r="F531">
        <v>2</v>
      </c>
      <c r="G531" s="7">
        <v>675.1</v>
      </c>
      <c r="H531" s="3" t="s">
        <v>2803</v>
      </c>
      <c r="I531" s="3" t="s">
        <v>3069</v>
      </c>
      <c r="J531" s="3" t="s">
        <v>3074</v>
      </c>
      <c r="K531" s="3" t="s">
        <v>3604</v>
      </c>
      <c r="L531" s="3">
        <v>4</v>
      </c>
      <c r="M531" s="10" t="s">
        <v>4276</v>
      </c>
      <c r="N531" s="3" t="s">
        <v>4282</v>
      </c>
      <c r="O531" s="7">
        <v>1350.2</v>
      </c>
      <c r="P531" s="3">
        <f t="shared" si="18"/>
        <v>1350.2</v>
      </c>
    </row>
    <row r="532" spans="1:16" x14ac:dyDescent="0.35">
      <c r="A532" t="s">
        <v>544</v>
      </c>
      <c r="B532" s="5">
        <v>45491</v>
      </c>
      <c r="C532" t="s">
        <v>1744</v>
      </c>
      <c r="D532" s="1" t="str">
        <f t="shared" si="17"/>
        <v>Desk</v>
      </c>
      <c r="E532" t="s">
        <v>2406</v>
      </c>
      <c r="F532">
        <v>4</v>
      </c>
      <c r="G532" s="7">
        <v>89.41</v>
      </c>
      <c r="H532" s="3" t="s">
        <v>2804</v>
      </c>
      <c r="I532" s="3" t="s">
        <v>3066</v>
      </c>
      <c r="J532" s="3" t="s">
        <v>3074</v>
      </c>
      <c r="K532" s="3" t="s">
        <v>3605</v>
      </c>
      <c r="L532" s="3">
        <v>9</v>
      </c>
      <c r="N532" s="3" t="s">
        <v>4282</v>
      </c>
      <c r="O532" s="7">
        <v>357.64</v>
      </c>
      <c r="P532" s="3">
        <f t="shared" si="18"/>
        <v>357.64</v>
      </c>
    </row>
    <row r="533" spans="1:16" x14ac:dyDescent="0.35">
      <c r="A533" t="s">
        <v>545</v>
      </c>
      <c r="B533" s="5">
        <v>45475</v>
      </c>
      <c r="C533" t="s">
        <v>1745</v>
      </c>
      <c r="D533" s="1" t="str">
        <f t="shared" si="17"/>
        <v>Laptop</v>
      </c>
      <c r="E533" t="s">
        <v>2409</v>
      </c>
      <c r="F533">
        <v>5</v>
      </c>
      <c r="G533" s="7">
        <v>320.01</v>
      </c>
      <c r="H533" s="3" t="s">
        <v>2805</v>
      </c>
      <c r="I533" s="3" t="s">
        <v>3068</v>
      </c>
      <c r="J533" s="3" t="s">
        <v>3073</v>
      </c>
      <c r="K533" s="3" t="s">
        <v>3606</v>
      </c>
      <c r="L533" s="3">
        <v>6</v>
      </c>
      <c r="N533" s="3" t="s">
        <v>4279</v>
      </c>
      <c r="O533" s="7">
        <v>1600.05</v>
      </c>
      <c r="P533" s="3">
        <f t="shared" si="18"/>
        <v>1600.05</v>
      </c>
    </row>
    <row r="534" spans="1:16" x14ac:dyDescent="0.35">
      <c r="A534" t="s">
        <v>546</v>
      </c>
      <c r="B534" s="5">
        <v>45780</v>
      </c>
      <c r="C534" t="s">
        <v>1746</v>
      </c>
      <c r="D534" s="1" t="str">
        <f t="shared" si="17"/>
        <v>Desk</v>
      </c>
      <c r="E534" t="s">
        <v>2408</v>
      </c>
      <c r="F534">
        <v>2</v>
      </c>
      <c r="G534" s="7">
        <v>41</v>
      </c>
      <c r="H534" s="3" t="s">
        <v>2806</v>
      </c>
      <c r="I534" s="3" t="s">
        <v>3066</v>
      </c>
      <c r="J534" s="3" t="s">
        <v>3073</v>
      </c>
      <c r="K534" s="3" t="s">
        <v>3607</v>
      </c>
      <c r="L534" s="3">
        <v>7</v>
      </c>
      <c r="N534" s="3" t="s">
        <v>4280</v>
      </c>
      <c r="O534" s="7">
        <v>82</v>
      </c>
      <c r="P534" s="3">
        <f t="shared" si="18"/>
        <v>82</v>
      </c>
    </row>
    <row r="535" spans="1:16" x14ac:dyDescent="0.35">
      <c r="A535" t="s">
        <v>547</v>
      </c>
      <c r="B535" s="5">
        <v>44990</v>
      </c>
      <c r="C535" t="s">
        <v>1747</v>
      </c>
      <c r="D535" s="1" t="str">
        <f t="shared" si="17"/>
        <v>Chair</v>
      </c>
      <c r="E535" t="s">
        <v>2409</v>
      </c>
      <c r="F535">
        <v>1</v>
      </c>
      <c r="G535" s="7">
        <v>565.85</v>
      </c>
      <c r="H535" s="3" t="s">
        <v>2472</v>
      </c>
      <c r="I535" s="3" t="s">
        <v>3068</v>
      </c>
      <c r="J535" s="3" t="s">
        <v>3072</v>
      </c>
      <c r="K535" s="3" t="s">
        <v>3608</v>
      </c>
      <c r="L535" s="3">
        <v>1</v>
      </c>
      <c r="M535" s="10" t="s">
        <v>4276</v>
      </c>
      <c r="N535" s="3" t="s">
        <v>4281</v>
      </c>
      <c r="O535" s="7">
        <v>565.85</v>
      </c>
      <c r="P535" s="3">
        <f t="shared" si="18"/>
        <v>565.85</v>
      </c>
    </row>
    <row r="536" spans="1:16" x14ac:dyDescent="0.35">
      <c r="A536" t="s">
        <v>548</v>
      </c>
      <c r="B536" s="5">
        <v>45449</v>
      </c>
      <c r="C536" t="s">
        <v>1748</v>
      </c>
      <c r="D536" s="1" t="str">
        <f t="shared" si="17"/>
        <v>Monitor</v>
      </c>
      <c r="E536" t="s">
        <v>2406</v>
      </c>
      <c r="F536">
        <v>3</v>
      </c>
      <c r="G536" s="7">
        <v>648.59</v>
      </c>
      <c r="H536" s="3" t="s">
        <v>2807</v>
      </c>
      <c r="I536" s="3" t="s">
        <v>3065</v>
      </c>
      <c r="J536" s="3" t="s">
        <v>3071</v>
      </c>
      <c r="K536" s="3" t="s">
        <v>3609</v>
      </c>
      <c r="L536" s="3">
        <v>4</v>
      </c>
      <c r="M536" s="10" t="s">
        <v>4275</v>
      </c>
      <c r="N536" s="3" t="s">
        <v>4280</v>
      </c>
      <c r="O536" s="7">
        <v>1945.77</v>
      </c>
      <c r="P536" s="3">
        <f t="shared" si="18"/>
        <v>1945.77</v>
      </c>
    </row>
    <row r="537" spans="1:16" x14ac:dyDescent="0.35">
      <c r="A537" t="s">
        <v>549</v>
      </c>
      <c r="B537" s="5">
        <v>45497</v>
      </c>
      <c r="C537" t="s">
        <v>1749</v>
      </c>
      <c r="D537" s="1" t="str">
        <f t="shared" si="17"/>
        <v>Chair</v>
      </c>
      <c r="E537" t="s">
        <v>2403</v>
      </c>
      <c r="F537">
        <v>3</v>
      </c>
      <c r="G537" s="7">
        <v>68.12</v>
      </c>
      <c r="H537" s="3" t="s">
        <v>2567</v>
      </c>
      <c r="I537" s="3" t="s">
        <v>3066</v>
      </c>
      <c r="J537" s="3" t="s">
        <v>3071</v>
      </c>
      <c r="K537" s="3" t="s">
        <v>3610</v>
      </c>
      <c r="L537" s="3">
        <v>3</v>
      </c>
      <c r="M537" s="10" t="s">
        <v>4276</v>
      </c>
      <c r="N537" s="3" t="s">
        <v>4280</v>
      </c>
      <c r="O537" s="7">
        <v>204.36</v>
      </c>
      <c r="P537" s="3">
        <f t="shared" si="18"/>
        <v>204.36</v>
      </c>
    </row>
    <row r="538" spans="1:16" x14ac:dyDescent="0.35">
      <c r="A538" t="s">
        <v>550</v>
      </c>
      <c r="B538" s="5">
        <v>45452</v>
      </c>
      <c r="C538" t="s">
        <v>1750</v>
      </c>
      <c r="D538" s="1" t="str">
        <f t="shared" si="17"/>
        <v>Tablet</v>
      </c>
      <c r="E538" t="s">
        <v>2406</v>
      </c>
      <c r="F538">
        <v>1</v>
      </c>
      <c r="G538" s="7">
        <v>616.1</v>
      </c>
      <c r="H538" s="3" t="s">
        <v>2808</v>
      </c>
      <c r="I538" s="3" t="s">
        <v>3069</v>
      </c>
      <c r="J538" s="3" t="s">
        <v>3072</v>
      </c>
      <c r="K538" s="3" t="s">
        <v>3611</v>
      </c>
      <c r="L538" s="3">
        <v>6</v>
      </c>
      <c r="N538" s="3" t="s">
        <v>4280</v>
      </c>
      <c r="O538" s="7">
        <v>616.1</v>
      </c>
      <c r="P538" s="3">
        <f t="shared" si="18"/>
        <v>616.1</v>
      </c>
    </row>
    <row r="539" spans="1:16" x14ac:dyDescent="0.35">
      <c r="A539" t="s">
        <v>551</v>
      </c>
      <c r="B539" s="5">
        <v>45739</v>
      </c>
      <c r="C539" t="s">
        <v>1751</v>
      </c>
      <c r="D539" s="1" t="str">
        <f t="shared" si="17"/>
        <v>Phone</v>
      </c>
      <c r="E539" t="s">
        <v>2405</v>
      </c>
      <c r="F539">
        <v>3</v>
      </c>
      <c r="G539" s="7">
        <v>247.47</v>
      </c>
      <c r="H539" s="3" t="s">
        <v>2471</v>
      </c>
      <c r="I539" s="3" t="s">
        <v>3066</v>
      </c>
      <c r="J539" s="3" t="s">
        <v>3073</v>
      </c>
      <c r="K539" s="3" t="s">
        <v>3612</v>
      </c>
      <c r="L539" s="3">
        <v>4</v>
      </c>
      <c r="M539" s="10" t="s">
        <v>4275</v>
      </c>
      <c r="N539" s="3" t="s">
        <v>4281</v>
      </c>
      <c r="O539" s="7">
        <v>742.41</v>
      </c>
      <c r="P539" s="3">
        <f t="shared" si="18"/>
        <v>742.41</v>
      </c>
    </row>
    <row r="540" spans="1:16" x14ac:dyDescent="0.35">
      <c r="A540" t="s">
        <v>552</v>
      </c>
      <c r="B540" s="5">
        <v>45436</v>
      </c>
      <c r="C540" t="s">
        <v>1752</v>
      </c>
      <c r="D540" s="1" t="str">
        <f t="shared" si="17"/>
        <v>Desk</v>
      </c>
      <c r="E540" t="s">
        <v>2404</v>
      </c>
      <c r="F540">
        <v>3</v>
      </c>
      <c r="G540" s="7">
        <v>490.74</v>
      </c>
      <c r="H540" s="3" t="s">
        <v>2809</v>
      </c>
      <c r="I540" s="3" t="s">
        <v>3069</v>
      </c>
      <c r="J540" s="3" t="s">
        <v>3070</v>
      </c>
      <c r="K540" s="3" t="s">
        <v>3613</v>
      </c>
      <c r="L540" s="3">
        <v>3</v>
      </c>
      <c r="M540" s="10" t="s">
        <v>4277</v>
      </c>
      <c r="N540" s="3" t="s">
        <v>4280</v>
      </c>
      <c r="O540" s="7">
        <v>1472.22</v>
      </c>
      <c r="P540" s="3">
        <f t="shared" si="18"/>
        <v>1472.22</v>
      </c>
    </row>
    <row r="541" spans="1:16" x14ac:dyDescent="0.35">
      <c r="A541" t="s">
        <v>553</v>
      </c>
      <c r="B541" s="5">
        <v>45706</v>
      </c>
      <c r="C541" t="s">
        <v>1753</v>
      </c>
      <c r="D541" s="1" t="str">
        <f t="shared" si="17"/>
        <v>Laptop</v>
      </c>
      <c r="E541" t="s">
        <v>2409</v>
      </c>
      <c r="F541">
        <v>3</v>
      </c>
      <c r="G541" s="7">
        <v>531.72</v>
      </c>
      <c r="H541" s="3" t="s">
        <v>2810</v>
      </c>
      <c r="I541" s="3" t="s">
        <v>3068</v>
      </c>
      <c r="J541" s="3" t="s">
        <v>3073</v>
      </c>
      <c r="K541" s="3" t="s">
        <v>3614</v>
      </c>
      <c r="L541" s="3">
        <v>7</v>
      </c>
      <c r="M541" s="10" t="s">
        <v>4275</v>
      </c>
      <c r="N541" s="3" t="s">
        <v>4282</v>
      </c>
      <c r="O541" s="7">
        <v>1595.16</v>
      </c>
      <c r="P541" s="3">
        <f t="shared" si="18"/>
        <v>1595.16</v>
      </c>
    </row>
    <row r="542" spans="1:16" x14ac:dyDescent="0.35">
      <c r="A542" t="s">
        <v>554</v>
      </c>
      <c r="B542" s="5">
        <v>45320</v>
      </c>
      <c r="C542" t="s">
        <v>1754</v>
      </c>
      <c r="D542" s="1" t="str">
        <f t="shared" si="17"/>
        <v>Printer</v>
      </c>
      <c r="E542" t="s">
        <v>2408</v>
      </c>
      <c r="F542">
        <v>5</v>
      </c>
      <c r="G542" s="7">
        <v>648.65</v>
      </c>
      <c r="H542" s="3" t="s">
        <v>2811</v>
      </c>
      <c r="I542" s="3" t="s">
        <v>3066</v>
      </c>
      <c r="J542" s="3" t="s">
        <v>3074</v>
      </c>
      <c r="K542" s="3" t="s">
        <v>3615</v>
      </c>
      <c r="L542" s="3">
        <v>7</v>
      </c>
      <c r="N542" s="3" t="s">
        <v>4279</v>
      </c>
      <c r="O542" s="7">
        <v>3243.25</v>
      </c>
      <c r="P542" s="3">
        <f t="shared" si="18"/>
        <v>3243.25</v>
      </c>
    </row>
    <row r="543" spans="1:16" x14ac:dyDescent="0.35">
      <c r="A543" t="s">
        <v>555</v>
      </c>
      <c r="B543" s="5">
        <v>45145</v>
      </c>
      <c r="C543" t="s">
        <v>1755</v>
      </c>
      <c r="D543" s="1" t="str">
        <f t="shared" si="17"/>
        <v>Tablet</v>
      </c>
      <c r="E543" t="s">
        <v>2407</v>
      </c>
      <c r="F543">
        <v>5</v>
      </c>
      <c r="G543" s="7">
        <v>456.06</v>
      </c>
      <c r="H543" s="3" t="s">
        <v>2812</v>
      </c>
      <c r="I543" s="3" t="s">
        <v>3069</v>
      </c>
      <c r="J543" s="3" t="s">
        <v>3074</v>
      </c>
      <c r="K543" s="3" t="s">
        <v>3616</v>
      </c>
      <c r="L543" s="3">
        <v>10</v>
      </c>
      <c r="N543" s="3" t="s">
        <v>4278</v>
      </c>
      <c r="O543" s="7">
        <v>2280.3000000000002</v>
      </c>
      <c r="P543" s="3">
        <f t="shared" si="18"/>
        <v>2280.3000000000002</v>
      </c>
    </row>
    <row r="544" spans="1:16" x14ac:dyDescent="0.35">
      <c r="A544" t="s">
        <v>556</v>
      </c>
      <c r="B544" s="5">
        <v>45244</v>
      </c>
      <c r="C544" t="s">
        <v>1756</v>
      </c>
      <c r="D544" s="1" t="str">
        <f t="shared" si="17"/>
        <v>Desk</v>
      </c>
      <c r="E544" t="s">
        <v>2405</v>
      </c>
      <c r="F544">
        <v>1</v>
      </c>
      <c r="G544" s="7">
        <v>17.98</v>
      </c>
      <c r="H544" s="3" t="s">
        <v>2415</v>
      </c>
      <c r="I544" s="3" t="s">
        <v>3069</v>
      </c>
      <c r="J544" s="3" t="s">
        <v>3071</v>
      </c>
      <c r="K544" s="3" t="s">
        <v>3617</v>
      </c>
      <c r="L544" s="3">
        <v>6</v>
      </c>
      <c r="M544" s="10" t="s">
        <v>4276</v>
      </c>
      <c r="N544" s="3" t="s">
        <v>4280</v>
      </c>
      <c r="O544" s="7">
        <v>17.98</v>
      </c>
      <c r="P544" s="3">
        <f t="shared" si="18"/>
        <v>17.98</v>
      </c>
    </row>
    <row r="545" spans="1:16" x14ac:dyDescent="0.35">
      <c r="A545" t="s">
        <v>557</v>
      </c>
      <c r="B545" s="5">
        <v>45360</v>
      </c>
      <c r="C545" t="s">
        <v>1757</v>
      </c>
      <c r="D545" s="1" t="str">
        <f t="shared" si="17"/>
        <v>Printer</v>
      </c>
      <c r="E545" t="s">
        <v>2409</v>
      </c>
      <c r="F545">
        <v>5</v>
      </c>
      <c r="G545" s="7">
        <v>269.86</v>
      </c>
      <c r="H545" s="3" t="s">
        <v>2569</v>
      </c>
      <c r="I545" s="3" t="s">
        <v>3069</v>
      </c>
      <c r="J545" s="3" t="s">
        <v>3070</v>
      </c>
      <c r="K545" s="3" t="s">
        <v>3618</v>
      </c>
      <c r="L545" s="3">
        <v>6</v>
      </c>
      <c r="M545" s="10" t="s">
        <v>4277</v>
      </c>
      <c r="N545" s="3" t="s">
        <v>4281</v>
      </c>
      <c r="O545" s="7">
        <v>1349.3</v>
      </c>
      <c r="P545" s="3">
        <f t="shared" si="18"/>
        <v>1349.3000000000002</v>
      </c>
    </row>
    <row r="546" spans="1:16" x14ac:dyDescent="0.35">
      <c r="A546" t="s">
        <v>558</v>
      </c>
      <c r="B546" s="5">
        <v>45361</v>
      </c>
      <c r="C546" t="s">
        <v>1758</v>
      </c>
      <c r="D546" s="1" t="str">
        <f t="shared" si="17"/>
        <v>Monitor</v>
      </c>
      <c r="E546" t="s">
        <v>2407</v>
      </c>
      <c r="F546">
        <v>5</v>
      </c>
      <c r="G546" s="7">
        <v>31.96</v>
      </c>
      <c r="H546" s="3" t="s">
        <v>2726</v>
      </c>
      <c r="I546" s="3" t="s">
        <v>3067</v>
      </c>
      <c r="J546" s="3" t="s">
        <v>3072</v>
      </c>
      <c r="K546" s="3" t="s">
        <v>3619</v>
      </c>
      <c r="L546" s="3">
        <v>5</v>
      </c>
      <c r="M546" s="10" t="s">
        <v>4276</v>
      </c>
      <c r="N546" s="3" t="s">
        <v>4279</v>
      </c>
      <c r="O546" s="7">
        <v>159.80000000000001</v>
      </c>
      <c r="P546" s="3">
        <f t="shared" si="18"/>
        <v>159.80000000000001</v>
      </c>
    </row>
    <row r="547" spans="1:16" x14ac:dyDescent="0.35">
      <c r="A547" t="s">
        <v>559</v>
      </c>
      <c r="B547" s="5">
        <v>45279</v>
      </c>
      <c r="C547" t="s">
        <v>1759</v>
      </c>
      <c r="D547" s="1" t="str">
        <f t="shared" si="17"/>
        <v>Monitor</v>
      </c>
      <c r="E547" t="s">
        <v>2403</v>
      </c>
      <c r="F547">
        <v>2</v>
      </c>
      <c r="G547" s="7">
        <v>98.47</v>
      </c>
      <c r="H547" s="3" t="s">
        <v>2813</v>
      </c>
      <c r="I547" s="3" t="s">
        <v>3069</v>
      </c>
      <c r="J547" s="3" t="s">
        <v>3072</v>
      </c>
      <c r="K547" s="3" t="s">
        <v>3620</v>
      </c>
      <c r="L547" s="3">
        <v>3</v>
      </c>
      <c r="N547" s="3" t="s">
        <v>4278</v>
      </c>
      <c r="O547" s="7">
        <v>196.94</v>
      </c>
      <c r="P547" s="3">
        <f t="shared" si="18"/>
        <v>196.94</v>
      </c>
    </row>
    <row r="548" spans="1:16" x14ac:dyDescent="0.35">
      <c r="A548" t="s">
        <v>560</v>
      </c>
      <c r="B548" s="5">
        <v>45352</v>
      </c>
      <c r="C548" t="s">
        <v>1760</v>
      </c>
      <c r="D548" s="1" t="str">
        <f t="shared" si="17"/>
        <v>Phone</v>
      </c>
      <c r="E548" t="s">
        <v>2403</v>
      </c>
      <c r="F548">
        <v>1</v>
      </c>
      <c r="G548" s="7">
        <v>158.68</v>
      </c>
      <c r="H548" s="3" t="s">
        <v>2410</v>
      </c>
      <c r="I548" s="3" t="s">
        <v>3067</v>
      </c>
      <c r="J548" s="3" t="s">
        <v>3072</v>
      </c>
      <c r="K548" s="3" t="s">
        <v>3621</v>
      </c>
      <c r="L548" s="3">
        <v>6</v>
      </c>
      <c r="M548" s="10" t="s">
        <v>4277</v>
      </c>
      <c r="N548" s="3" t="s">
        <v>4278</v>
      </c>
      <c r="O548" s="7">
        <v>158.68</v>
      </c>
      <c r="P548" s="3">
        <f t="shared" si="18"/>
        <v>158.68</v>
      </c>
    </row>
    <row r="549" spans="1:16" x14ac:dyDescent="0.35">
      <c r="A549" t="s">
        <v>561</v>
      </c>
      <c r="B549" s="5">
        <v>45158</v>
      </c>
      <c r="C549" t="s">
        <v>1761</v>
      </c>
      <c r="D549" s="1" t="str">
        <f t="shared" si="17"/>
        <v>Printer</v>
      </c>
      <c r="E549" t="s">
        <v>2404</v>
      </c>
      <c r="F549">
        <v>1</v>
      </c>
      <c r="G549" s="7">
        <v>613.98</v>
      </c>
      <c r="H549" s="3" t="s">
        <v>2814</v>
      </c>
      <c r="I549" s="3" t="s">
        <v>3066</v>
      </c>
      <c r="J549" s="3" t="s">
        <v>3073</v>
      </c>
      <c r="K549" s="3" t="s">
        <v>3622</v>
      </c>
      <c r="L549" s="3">
        <v>4</v>
      </c>
      <c r="M549" s="10" t="s">
        <v>4276</v>
      </c>
      <c r="N549" s="3" t="s">
        <v>4281</v>
      </c>
      <c r="O549" s="7">
        <v>613.98</v>
      </c>
      <c r="P549" s="3">
        <f t="shared" si="18"/>
        <v>613.98</v>
      </c>
    </row>
    <row r="550" spans="1:16" x14ac:dyDescent="0.35">
      <c r="A550" t="s">
        <v>562</v>
      </c>
      <c r="B550" s="5">
        <v>45296</v>
      </c>
      <c r="C550" t="s">
        <v>1762</v>
      </c>
      <c r="D550" s="1" t="str">
        <f t="shared" si="17"/>
        <v>Monitor</v>
      </c>
      <c r="E550" t="s">
        <v>2407</v>
      </c>
      <c r="F550">
        <v>3</v>
      </c>
      <c r="G550" s="7">
        <v>426.12</v>
      </c>
      <c r="H550" s="3" t="s">
        <v>2500</v>
      </c>
      <c r="I550" s="3" t="s">
        <v>3066</v>
      </c>
      <c r="J550" s="3" t="s">
        <v>3073</v>
      </c>
      <c r="K550" s="3" t="s">
        <v>3623</v>
      </c>
      <c r="L550" s="3">
        <v>5</v>
      </c>
      <c r="M550" s="10" t="s">
        <v>4277</v>
      </c>
      <c r="N550" s="3" t="s">
        <v>4278</v>
      </c>
      <c r="O550" s="7">
        <v>1278.3599999999999</v>
      </c>
      <c r="P550" s="3">
        <f t="shared" si="18"/>
        <v>1278.3600000000001</v>
      </c>
    </row>
    <row r="551" spans="1:16" x14ac:dyDescent="0.35">
      <c r="A551" t="s">
        <v>563</v>
      </c>
      <c r="B551" s="5">
        <v>45713</v>
      </c>
      <c r="C551" t="s">
        <v>1763</v>
      </c>
      <c r="D551" s="1" t="str">
        <f t="shared" si="17"/>
        <v>Laptop</v>
      </c>
      <c r="E551" t="s">
        <v>2403</v>
      </c>
      <c r="F551">
        <v>4</v>
      </c>
      <c r="G551" s="7">
        <v>629.88</v>
      </c>
      <c r="H551" s="3" t="s">
        <v>2815</v>
      </c>
      <c r="I551" s="3" t="s">
        <v>3065</v>
      </c>
      <c r="J551" s="3" t="s">
        <v>3071</v>
      </c>
      <c r="K551" s="3" t="s">
        <v>3624</v>
      </c>
      <c r="L551" s="3">
        <v>8</v>
      </c>
      <c r="M551" s="10" t="s">
        <v>4277</v>
      </c>
      <c r="N551" s="3" t="s">
        <v>4278</v>
      </c>
      <c r="O551" s="7">
        <v>2519.52</v>
      </c>
      <c r="P551" s="3">
        <f t="shared" si="18"/>
        <v>2519.52</v>
      </c>
    </row>
    <row r="552" spans="1:16" x14ac:dyDescent="0.35">
      <c r="A552" t="s">
        <v>564</v>
      </c>
      <c r="B552" s="5">
        <v>45228</v>
      </c>
      <c r="C552" t="s">
        <v>1764</v>
      </c>
      <c r="D552" s="1" t="str">
        <f t="shared" si="17"/>
        <v>Laptop</v>
      </c>
      <c r="E552" t="s">
        <v>2408</v>
      </c>
      <c r="F552">
        <v>4</v>
      </c>
      <c r="G552" s="7">
        <v>228.91</v>
      </c>
      <c r="H552" s="3" t="s">
        <v>2542</v>
      </c>
      <c r="I552" s="3" t="s">
        <v>3069</v>
      </c>
      <c r="J552" s="3" t="s">
        <v>3070</v>
      </c>
      <c r="K552" s="3" t="s">
        <v>3625</v>
      </c>
      <c r="L552" s="3">
        <v>4</v>
      </c>
      <c r="M552" s="10" t="s">
        <v>4276</v>
      </c>
      <c r="N552" s="3" t="s">
        <v>4282</v>
      </c>
      <c r="O552" s="7">
        <v>915.64</v>
      </c>
      <c r="P552" s="3">
        <f t="shared" si="18"/>
        <v>915.64</v>
      </c>
    </row>
    <row r="553" spans="1:16" x14ac:dyDescent="0.35">
      <c r="A553" t="s">
        <v>565</v>
      </c>
      <c r="B553" s="5">
        <v>45064</v>
      </c>
      <c r="C553" t="s">
        <v>1765</v>
      </c>
      <c r="D553" s="1" t="str">
        <f t="shared" si="17"/>
        <v>Chair</v>
      </c>
      <c r="E553" t="s">
        <v>2408</v>
      </c>
      <c r="F553">
        <v>1</v>
      </c>
      <c r="G553" s="7">
        <v>120.98</v>
      </c>
      <c r="H553" s="3" t="s">
        <v>2528</v>
      </c>
      <c r="I553" s="3" t="s">
        <v>3065</v>
      </c>
      <c r="J553" s="3" t="s">
        <v>3073</v>
      </c>
      <c r="K553" s="3" t="s">
        <v>3626</v>
      </c>
      <c r="L553" s="3">
        <v>6</v>
      </c>
      <c r="M553" s="10" t="s">
        <v>4277</v>
      </c>
      <c r="N553" s="3" t="s">
        <v>4280</v>
      </c>
      <c r="O553" s="7">
        <v>120.98</v>
      </c>
      <c r="P553" s="3">
        <f t="shared" si="18"/>
        <v>120.98</v>
      </c>
    </row>
    <row r="554" spans="1:16" x14ac:dyDescent="0.35">
      <c r="A554" t="s">
        <v>566</v>
      </c>
      <c r="B554" s="5">
        <v>45199</v>
      </c>
      <c r="C554" t="s">
        <v>1766</v>
      </c>
      <c r="D554" s="1" t="str">
        <f t="shared" si="17"/>
        <v>Phone</v>
      </c>
      <c r="E554" t="s">
        <v>2406</v>
      </c>
      <c r="F554">
        <v>4</v>
      </c>
      <c r="G554" s="7">
        <v>425.18</v>
      </c>
      <c r="H554" s="3" t="s">
        <v>2798</v>
      </c>
      <c r="I554" s="3" t="s">
        <v>3066</v>
      </c>
      <c r="J554" s="3" t="s">
        <v>3072</v>
      </c>
      <c r="K554" s="3" t="s">
        <v>3627</v>
      </c>
      <c r="L554" s="3">
        <v>8</v>
      </c>
      <c r="M554" s="10" t="s">
        <v>4277</v>
      </c>
      <c r="N554" s="3" t="s">
        <v>4281</v>
      </c>
      <c r="O554" s="7">
        <v>1700.72</v>
      </c>
      <c r="P554" s="3">
        <f t="shared" si="18"/>
        <v>1700.72</v>
      </c>
    </row>
    <row r="555" spans="1:16" x14ac:dyDescent="0.35">
      <c r="A555" t="s">
        <v>567</v>
      </c>
      <c r="B555" s="5">
        <v>45161</v>
      </c>
      <c r="C555" t="s">
        <v>1767</v>
      </c>
      <c r="D555" s="1" t="str">
        <f t="shared" si="17"/>
        <v>Laptop</v>
      </c>
      <c r="E555" t="s">
        <v>2404</v>
      </c>
      <c r="F555">
        <v>2</v>
      </c>
      <c r="G555" s="7">
        <v>333.83</v>
      </c>
      <c r="H555" s="3" t="s">
        <v>2816</v>
      </c>
      <c r="I555" s="3" t="s">
        <v>3068</v>
      </c>
      <c r="J555" s="3" t="s">
        <v>3071</v>
      </c>
      <c r="K555" s="3" t="s">
        <v>3628</v>
      </c>
      <c r="L555" s="3">
        <v>4</v>
      </c>
      <c r="M555" s="10" t="s">
        <v>4276</v>
      </c>
      <c r="N555" s="3" t="s">
        <v>4279</v>
      </c>
      <c r="O555" s="7">
        <v>667.66</v>
      </c>
      <c r="P555" s="3">
        <f t="shared" si="18"/>
        <v>667.66</v>
      </c>
    </row>
    <row r="556" spans="1:16" x14ac:dyDescent="0.35">
      <c r="A556" t="s">
        <v>568</v>
      </c>
      <c r="B556" s="5">
        <v>45807</v>
      </c>
      <c r="C556" t="s">
        <v>1768</v>
      </c>
      <c r="D556" s="1" t="str">
        <f t="shared" si="17"/>
        <v>Tablet</v>
      </c>
      <c r="E556" t="s">
        <v>2408</v>
      </c>
      <c r="F556">
        <v>2</v>
      </c>
      <c r="G556" s="7">
        <v>492.9</v>
      </c>
      <c r="H556" s="3" t="s">
        <v>2610</v>
      </c>
      <c r="I556" s="3" t="s">
        <v>3069</v>
      </c>
      <c r="J556" s="3" t="s">
        <v>3072</v>
      </c>
      <c r="K556" s="3" t="s">
        <v>3629</v>
      </c>
      <c r="L556" s="3">
        <v>5</v>
      </c>
      <c r="M556" s="10" t="s">
        <v>4276</v>
      </c>
      <c r="N556" s="3" t="s">
        <v>4278</v>
      </c>
      <c r="O556" s="7">
        <v>985.8</v>
      </c>
      <c r="P556" s="3">
        <f t="shared" si="18"/>
        <v>985.8</v>
      </c>
    </row>
    <row r="557" spans="1:16" x14ac:dyDescent="0.35">
      <c r="A557" t="s">
        <v>569</v>
      </c>
      <c r="B557" s="5">
        <v>44933</v>
      </c>
      <c r="C557" t="s">
        <v>1769</v>
      </c>
      <c r="D557" s="1" t="str">
        <f t="shared" si="17"/>
        <v>Laptop</v>
      </c>
      <c r="E557" t="s">
        <v>2405</v>
      </c>
      <c r="F557">
        <v>1</v>
      </c>
      <c r="G557" s="7">
        <v>92.04</v>
      </c>
      <c r="H557" s="3" t="s">
        <v>2420</v>
      </c>
      <c r="I557" s="3" t="s">
        <v>3069</v>
      </c>
      <c r="J557" s="3" t="s">
        <v>3070</v>
      </c>
      <c r="K557" s="3" t="s">
        <v>3630</v>
      </c>
      <c r="L557" s="3">
        <v>2</v>
      </c>
      <c r="N557" s="3" t="s">
        <v>4281</v>
      </c>
      <c r="O557" s="7">
        <v>92.04</v>
      </c>
      <c r="P557" s="3">
        <f t="shared" si="18"/>
        <v>92.04</v>
      </c>
    </row>
    <row r="558" spans="1:16" x14ac:dyDescent="0.35">
      <c r="A558" t="s">
        <v>570</v>
      </c>
      <c r="B558" s="5">
        <v>44954</v>
      </c>
      <c r="C558" t="s">
        <v>1770</v>
      </c>
      <c r="D558" s="1" t="str">
        <f t="shared" si="17"/>
        <v>Tablet</v>
      </c>
      <c r="E558" t="s">
        <v>2408</v>
      </c>
      <c r="F558">
        <v>1</v>
      </c>
      <c r="G558" s="7">
        <v>654.27</v>
      </c>
      <c r="H558" s="3" t="s">
        <v>2817</v>
      </c>
      <c r="I558" s="3" t="s">
        <v>3068</v>
      </c>
      <c r="J558" s="3" t="s">
        <v>3074</v>
      </c>
      <c r="K558" s="3" t="s">
        <v>3631</v>
      </c>
      <c r="L558" s="3">
        <v>2</v>
      </c>
      <c r="M558" s="10" t="s">
        <v>4275</v>
      </c>
      <c r="N558" s="3" t="s">
        <v>4281</v>
      </c>
      <c r="O558" s="7">
        <v>654.27</v>
      </c>
      <c r="P558" s="3">
        <f t="shared" si="18"/>
        <v>654.27</v>
      </c>
    </row>
    <row r="559" spans="1:16" x14ac:dyDescent="0.35">
      <c r="A559" t="s">
        <v>571</v>
      </c>
      <c r="B559" s="5">
        <v>45106</v>
      </c>
      <c r="C559" t="s">
        <v>1771</v>
      </c>
      <c r="D559" s="1" t="str">
        <f t="shared" si="17"/>
        <v>Phone</v>
      </c>
      <c r="E559" t="s">
        <v>2405</v>
      </c>
      <c r="F559">
        <v>1</v>
      </c>
      <c r="G559" s="7">
        <v>56.2</v>
      </c>
      <c r="H559" s="3" t="s">
        <v>2818</v>
      </c>
      <c r="I559" s="3" t="s">
        <v>3065</v>
      </c>
      <c r="J559" s="3" t="s">
        <v>3074</v>
      </c>
      <c r="K559" s="3" t="s">
        <v>3632</v>
      </c>
      <c r="L559" s="3">
        <v>1</v>
      </c>
      <c r="M559" s="10" t="s">
        <v>4277</v>
      </c>
      <c r="N559" s="3" t="s">
        <v>4281</v>
      </c>
      <c r="O559" s="7">
        <v>56.2</v>
      </c>
      <c r="P559" s="3">
        <f t="shared" si="18"/>
        <v>56.2</v>
      </c>
    </row>
    <row r="560" spans="1:16" x14ac:dyDescent="0.35">
      <c r="A560" t="s">
        <v>572</v>
      </c>
      <c r="B560" s="5">
        <v>45489</v>
      </c>
      <c r="C560" t="s">
        <v>1772</v>
      </c>
      <c r="D560" s="1" t="str">
        <f t="shared" si="17"/>
        <v>Desk</v>
      </c>
      <c r="E560" t="s">
        <v>2404</v>
      </c>
      <c r="F560">
        <v>4</v>
      </c>
      <c r="G560" s="7">
        <v>628.12</v>
      </c>
      <c r="H560" s="3" t="s">
        <v>2819</v>
      </c>
      <c r="I560" s="3" t="s">
        <v>3066</v>
      </c>
      <c r="J560" s="3" t="s">
        <v>3073</v>
      </c>
      <c r="K560" s="3" t="s">
        <v>3633</v>
      </c>
      <c r="L560" s="3">
        <v>6</v>
      </c>
      <c r="M560" s="10" t="s">
        <v>4277</v>
      </c>
      <c r="N560" s="3" t="s">
        <v>4278</v>
      </c>
      <c r="O560" s="7">
        <v>2512.48</v>
      </c>
      <c r="P560" s="3">
        <f t="shared" si="18"/>
        <v>2512.48</v>
      </c>
    </row>
    <row r="561" spans="1:16" x14ac:dyDescent="0.35">
      <c r="A561" t="s">
        <v>573</v>
      </c>
      <c r="B561" s="5">
        <v>45397</v>
      </c>
      <c r="C561" t="s">
        <v>1773</v>
      </c>
      <c r="D561" s="1" t="str">
        <f t="shared" si="17"/>
        <v>Monitor</v>
      </c>
      <c r="E561" t="s">
        <v>2409</v>
      </c>
      <c r="F561">
        <v>3</v>
      </c>
      <c r="G561" s="7">
        <v>157.4</v>
      </c>
      <c r="H561" s="3" t="s">
        <v>2790</v>
      </c>
      <c r="I561" s="3" t="s">
        <v>3065</v>
      </c>
      <c r="J561" s="3" t="s">
        <v>3071</v>
      </c>
      <c r="K561" s="3" t="s">
        <v>3634</v>
      </c>
      <c r="L561" s="3">
        <v>7</v>
      </c>
      <c r="M561" s="10" t="s">
        <v>4277</v>
      </c>
      <c r="N561" s="3" t="s">
        <v>4280</v>
      </c>
      <c r="O561" s="7">
        <v>472.2</v>
      </c>
      <c r="P561" s="3">
        <f t="shared" si="18"/>
        <v>472.20000000000005</v>
      </c>
    </row>
    <row r="562" spans="1:16" x14ac:dyDescent="0.35">
      <c r="A562" t="s">
        <v>574</v>
      </c>
      <c r="B562" s="5">
        <v>44957</v>
      </c>
      <c r="C562" t="s">
        <v>1774</v>
      </c>
      <c r="D562" s="1" t="str">
        <f t="shared" si="17"/>
        <v>Printer</v>
      </c>
      <c r="E562" t="s">
        <v>2403</v>
      </c>
      <c r="F562">
        <v>4</v>
      </c>
      <c r="G562" s="7">
        <v>588.85</v>
      </c>
      <c r="H562" s="3" t="s">
        <v>2820</v>
      </c>
      <c r="I562" s="3" t="s">
        <v>3068</v>
      </c>
      <c r="J562" s="3" t="s">
        <v>3074</v>
      </c>
      <c r="K562" s="3" t="s">
        <v>3635</v>
      </c>
      <c r="L562" s="3">
        <v>7</v>
      </c>
      <c r="N562" s="3" t="s">
        <v>4280</v>
      </c>
      <c r="O562" s="7">
        <v>2355.4</v>
      </c>
      <c r="P562" s="3">
        <f t="shared" si="18"/>
        <v>2355.4</v>
      </c>
    </row>
    <row r="563" spans="1:16" x14ac:dyDescent="0.35">
      <c r="A563" t="s">
        <v>575</v>
      </c>
      <c r="B563" s="5">
        <v>44957</v>
      </c>
      <c r="C563" t="s">
        <v>1775</v>
      </c>
      <c r="D563" s="1" t="str">
        <f t="shared" si="17"/>
        <v>Laptop</v>
      </c>
      <c r="E563" t="s">
        <v>2407</v>
      </c>
      <c r="F563">
        <v>2</v>
      </c>
      <c r="G563" s="7">
        <v>494.78</v>
      </c>
      <c r="H563" s="3" t="s">
        <v>2821</v>
      </c>
      <c r="I563" s="3" t="s">
        <v>3066</v>
      </c>
      <c r="J563" s="3" t="s">
        <v>3070</v>
      </c>
      <c r="K563" s="3" t="s">
        <v>3636</v>
      </c>
      <c r="L563" s="3">
        <v>2</v>
      </c>
      <c r="N563" s="3" t="s">
        <v>4282</v>
      </c>
      <c r="O563" s="7">
        <v>989.56</v>
      </c>
      <c r="P563" s="3">
        <f t="shared" si="18"/>
        <v>989.56</v>
      </c>
    </row>
    <row r="564" spans="1:16" x14ac:dyDescent="0.35">
      <c r="A564" t="s">
        <v>576</v>
      </c>
      <c r="B564" s="5">
        <v>45205</v>
      </c>
      <c r="C564" t="s">
        <v>1776</v>
      </c>
      <c r="D564" s="1" t="str">
        <f t="shared" si="17"/>
        <v>Laptop</v>
      </c>
      <c r="E564" t="s">
        <v>2408</v>
      </c>
      <c r="F564">
        <v>3</v>
      </c>
      <c r="G564" s="7">
        <v>663.93</v>
      </c>
      <c r="H564" s="3" t="s">
        <v>2500</v>
      </c>
      <c r="I564" s="3" t="s">
        <v>3068</v>
      </c>
      <c r="J564" s="3" t="s">
        <v>3072</v>
      </c>
      <c r="K564" s="3" t="s">
        <v>3637</v>
      </c>
      <c r="L564" s="3">
        <v>6</v>
      </c>
      <c r="M564" s="10" t="s">
        <v>4276</v>
      </c>
      <c r="N564" s="3" t="s">
        <v>4280</v>
      </c>
      <c r="O564" s="7">
        <v>1991.79</v>
      </c>
      <c r="P564" s="3">
        <f t="shared" si="18"/>
        <v>1991.79</v>
      </c>
    </row>
    <row r="565" spans="1:16" x14ac:dyDescent="0.35">
      <c r="A565" t="s">
        <v>577</v>
      </c>
      <c r="B565" s="5">
        <v>45272</v>
      </c>
      <c r="C565" t="s">
        <v>1777</v>
      </c>
      <c r="D565" s="1" t="str">
        <f t="shared" si="17"/>
        <v>Desk</v>
      </c>
      <c r="E565" t="s">
        <v>2408</v>
      </c>
      <c r="F565">
        <v>1</v>
      </c>
      <c r="G565" s="7">
        <v>132.68</v>
      </c>
      <c r="H565" s="3" t="s">
        <v>2822</v>
      </c>
      <c r="I565" s="3" t="s">
        <v>3065</v>
      </c>
      <c r="J565" s="3" t="s">
        <v>3072</v>
      </c>
      <c r="K565" s="3" t="s">
        <v>3638</v>
      </c>
      <c r="L565" s="3">
        <v>1</v>
      </c>
      <c r="M565" s="10" t="s">
        <v>4275</v>
      </c>
      <c r="N565" s="3" t="s">
        <v>4279</v>
      </c>
      <c r="O565" s="7">
        <v>132.68</v>
      </c>
      <c r="P565" s="3">
        <f t="shared" si="18"/>
        <v>132.68</v>
      </c>
    </row>
    <row r="566" spans="1:16" x14ac:dyDescent="0.35">
      <c r="A566" t="s">
        <v>578</v>
      </c>
      <c r="B566" s="5">
        <v>45755</v>
      </c>
      <c r="C566" t="s">
        <v>1778</v>
      </c>
      <c r="D566" s="1" t="str">
        <f t="shared" si="17"/>
        <v>Tablet</v>
      </c>
      <c r="E566" t="s">
        <v>2409</v>
      </c>
      <c r="F566">
        <v>5</v>
      </c>
      <c r="G566" s="7">
        <v>364.28</v>
      </c>
      <c r="H566" s="3" t="s">
        <v>2823</v>
      </c>
      <c r="I566" s="3" t="s">
        <v>3067</v>
      </c>
      <c r="J566" s="3" t="s">
        <v>3071</v>
      </c>
      <c r="K566" s="3" t="s">
        <v>3639</v>
      </c>
      <c r="L566" s="3">
        <v>5</v>
      </c>
      <c r="M566" s="10" t="s">
        <v>4277</v>
      </c>
      <c r="N566" s="3" t="s">
        <v>4282</v>
      </c>
      <c r="O566" s="7">
        <v>1821.4</v>
      </c>
      <c r="P566" s="3">
        <f t="shared" si="18"/>
        <v>1821.3999999999999</v>
      </c>
    </row>
    <row r="567" spans="1:16" x14ac:dyDescent="0.35">
      <c r="A567" t="s">
        <v>579</v>
      </c>
      <c r="B567" s="5">
        <v>45060</v>
      </c>
      <c r="C567" t="s">
        <v>1779</v>
      </c>
      <c r="D567" s="1" t="str">
        <f t="shared" si="17"/>
        <v>Phone</v>
      </c>
      <c r="E567" t="s">
        <v>2405</v>
      </c>
      <c r="F567">
        <v>5</v>
      </c>
      <c r="G567" s="7">
        <v>307.98</v>
      </c>
      <c r="H567" s="3" t="s">
        <v>2770</v>
      </c>
      <c r="I567" s="3" t="s">
        <v>3066</v>
      </c>
      <c r="J567" s="3" t="s">
        <v>3074</v>
      </c>
      <c r="K567" s="3" t="s">
        <v>3640</v>
      </c>
      <c r="L567" s="3">
        <v>10</v>
      </c>
      <c r="N567" s="3" t="s">
        <v>4281</v>
      </c>
      <c r="O567" s="7">
        <v>1539.9</v>
      </c>
      <c r="P567" s="3">
        <f t="shared" si="18"/>
        <v>1539.9</v>
      </c>
    </row>
    <row r="568" spans="1:16" x14ac:dyDescent="0.35">
      <c r="A568" t="s">
        <v>580</v>
      </c>
      <c r="B568" s="5">
        <v>45400</v>
      </c>
      <c r="C568" t="s">
        <v>1780</v>
      </c>
      <c r="D568" s="1" t="str">
        <f t="shared" si="17"/>
        <v>Chair</v>
      </c>
      <c r="E568" t="s">
        <v>2404</v>
      </c>
      <c r="F568">
        <v>4</v>
      </c>
      <c r="G568" s="7">
        <v>162.71</v>
      </c>
      <c r="H568" s="3" t="s">
        <v>2824</v>
      </c>
      <c r="I568" s="3" t="s">
        <v>3069</v>
      </c>
      <c r="J568" s="3" t="s">
        <v>3071</v>
      </c>
      <c r="K568" s="3" t="s">
        <v>3641</v>
      </c>
      <c r="L568" s="3">
        <v>7</v>
      </c>
      <c r="M568" s="10" t="s">
        <v>4276</v>
      </c>
      <c r="N568" s="3" t="s">
        <v>4280</v>
      </c>
      <c r="O568" s="7">
        <v>650.84</v>
      </c>
      <c r="P568" s="3">
        <f t="shared" si="18"/>
        <v>650.84</v>
      </c>
    </row>
    <row r="569" spans="1:16" x14ac:dyDescent="0.35">
      <c r="A569" t="s">
        <v>581</v>
      </c>
      <c r="B569" s="5">
        <v>45565</v>
      </c>
      <c r="C569" t="s">
        <v>1781</v>
      </c>
      <c r="D569" s="1" t="str">
        <f t="shared" si="17"/>
        <v>Laptop</v>
      </c>
      <c r="E569" t="s">
        <v>2406</v>
      </c>
      <c r="F569">
        <v>5</v>
      </c>
      <c r="G569" s="7">
        <v>492.94</v>
      </c>
      <c r="H569" s="3" t="s">
        <v>2632</v>
      </c>
      <c r="I569" s="3" t="s">
        <v>3069</v>
      </c>
      <c r="J569" s="3" t="s">
        <v>3070</v>
      </c>
      <c r="K569" s="3" t="s">
        <v>3642</v>
      </c>
      <c r="L569" s="3">
        <v>10</v>
      </c>
      <c r="M569" s="10" t="s">
        <v>4276</v>
      </c>
      <c r="N569" s="3" t="s">
        <v>4280</v>
      </c>
      <c r="O569" s="7">
        <v>2464.6999999999998</v>
      </c>
      <c r="P569" s="3">
        <f t="shared" si="18"/>
        <v>2464.6999999999998</v>
      </c>
    </row>
    <row r="570" spans="1:16" x14ac:dyDescent="0.35">
      <c r="A570" t="s">
        <v>582</v>
      </c>
      <c r="B570" s="5">
        <v>44995</v>
      </c>
      <c r="C570" t="s">
        <v>1782</v>
      </c>
      <c r="D570" s="1" t="str">
        <f t="shared" si="17"/>
        <v>Desk</v>
      </c>
      <c r="E570" t="s">
        <v>2408</v>
      </c>
      <c r="F570">
        <v>2</v>
      </c>
      <c r="G570" s="7">
        <v>343.99</v>
      </c>
      <c r="H570" s="3" t="s">
        <v>2714</v>
      </c>
      <c r="I570" s="3" t="s">
        <v>3066</v>
      </c>
      <c r="J570" s="3" t="s">
        <v>3073</v>
      </c>
      <c r="K570" s="3" t="s">
        <v>3643</v>
      </c>
      <c r="L570" s="3">
        <v>4</v>
      </c>
      <c r="N570" s="3" t="s">
        <v>4282</v>
      </c>
      <c r="O570" s="7">
        <v>687.98</v>
      </c>
      <c r="P570" s="3">
        <f t="shared" si="18"/>
        <v>687.98</v>
      </c>
    </row>
    <row r="571" spans="1:16" x14ac:dyDescent="0.35">
      <c r="A571" t="s">
        <v>583</v>
      </c>
      <c r="B571" s="5">
        <v>45738</v>
      </c>
      <c r="C571" t="s">
        <v>1783</v>
      </c>
      <c r="D571" s="1" t="str">
        <f t="shared" si="17"/>
        <v>Desk</v>
      </c>
      <c r="E571" t="s">
        <v>2409</v>
      </c>
      <c r="F571">
        <v>5</v>
      </c>
      <c r="G571" s="7">
        <v>250.68</v>
      </c>
      <c r="H571" s="3" t="s">
        <v>2774</v>
      </c>
      <c r="I571" s="3" t="s">
        <v>3069</v>
      </c>
      <c r="J571" s="3" t="s">
        <v>3070</v>
      </c>
      <c r="K571" s="3" t="s">
        <v>3644</v>
      </c>
      <c r="L571" s="3">
        <v>8</v>
      </c>
      <c r="M571" s="10" t="s">
        <v>4275</v>
      </c>
      <c r="N571" s="3" t="s">
        <v>4278</v>
      </c>
      <c r="O571" s="7">
        <v>1253.4000000000001</v>
      </c>
      <c r="P571" s="3">
        <f t="shared" si="18"/>
        <v>1253.4000000000001</v>
      </c>
    </row>
    <row r="572" spans="1:16" x14ac:dyDescent="0.35">
      <c r="A572" t="s">
        <v>584</v>
      </c>
      <c r="B572" s="5">
        <v>45653</v>
      </c>
      <c r="C572" t="s">
        <v>1784</v>
      </c>
      <c r="D572" s="1" t="str">
        <f t="shared" si="17"/>
        <v>Tablet</v>
      </c>
      <c r="E572" t="s">
        <v>2409</v>
      </c>
      <c r="F572">
        <v>2</v>
      </c>
      <c r="G572" s="7">
        <v>362.14</v>
      </c>
      <c r="H572" s="3" t="s">
        <v>2518</v>
      </c>
      <c r="I572" s="3" t="s">
        <v>3065</v>
      </c>
      <c r="J572" s="3" t="s">
        <v>3074</v>
      </c>
      <c r="K572" s="3" t="s">
        <v>3645</v>
      </c>
      <c r="L572" s="3">
        <v>2</v>
      </c>
      <c r="M572" s="10" t="s">
        <v>4275</v>
      </c>
      <c r="N572" s="3" t="s">
        <v>4278</v>
      </c>
      <c r="O572" s="7">
        <v>724.28</v>
      </c>
      <c r="P572" s="3">
        <f t="shared" si="18"/>
        <v>724.28</v>
      </c>
    </row>
    <row r="573" spans="1:16" x14ac:dyDescent="0.35">
      <c r="A573" t="s">
        <v>585</v>
      </c>
      <c r="B573" s="5">
        <v>45619</v>
      </c>
      <c r="C573" t="s">
        <v>1785</v>
      </c>
      <c r="D573" s="1" t="str">
        <f t="shared" si="17"/>
        <v>Printer</v>
      </c>
      <c r="E573" t="s">
        <v>2405</v>
      </c>
      <c r="F573">
        <v>1</v>
      </c>
      <c r="G573" s="7">
        <v>214.08</v>
      </c>
      <c r="H573" s="3" t="s">
        <v>2779</v>
      </c>
      <c r="I573" s="3" t="s">
        <v>3068</v>
      </c>
      <c r="J573" s="3" t="s">
        <v>3072</v>
      </c>
      <c r="K573" s="3" t="s">
        <v>3646</v>
      </c>
      <c r="L573" s="3">
        <v>2</v>
      </c>
      <c r="M573" s="10" t="s">
        <v>4277</v>
      </c>
      <c r="N573" s="3" t="s">
        <v>4282</v>
      </c>
      <c r="O573" s="7">
        <v>214.08</v>
      </c>
      <c r="P573" s="3">
        <f t="shared" si="18"/>
        <v>214.08</v>
      </c>
    </row>
    <row r="574" spans="1:16" x14ac:dyDescent="0.35">
      <c r="A574" t="s">
        <v>586</v>
      </c>
      <c r="B574" s="5">
        <v>45241</v>
      </c>
      <c r="C574" t="s">
        <v>1786</v>
      </c>
      <c r="D574" s="1" t="str">
        <f t="shared" si="17"/>
        <v>Chair</v>
      </c>
      <c r="E574" t="s">
        <v>2407</v>
      </c>
      <c r="F574">
        <v>1</v>
      </c>
      <c r="G574" s="7">
        <v>70.319999999999993</v>
      </c>
      <c r="H574" s="3" t="s">
        <v>2722</v>
      </c>
      <c r="I574" s="3" t="s">
        <v>3069</v>
      </c>
      <c r="J574" s="3" t="s">
        <v>3072</v>
      </c>
      <c r="K574" s="3" t="s">
        <v>3647</v>
      </c>
      <c r="L574" s="3">
        <v>4</v>
      </c>
      <c r="M574" s="10" t="s">
        <v>4277</v>
      </c>
      <c r="N574" s="3" t="s">
        <v>4281</v>
      </c>
      <c r="O574" s="7">
        <v>70.319999999999993</v>
      </c>
      <c r="P574" s="3">
        <f t="shared" si="18"/>
        <v>70.319999999999993</v>
      </c>
    </row>
    <row r="575" spans="1:16" x14ac:dyDescent="0.35">
      <c r="A575" t="s">
        <v>587</v>
      </c>
      <c r="B575" s="5">
        <v>44951</v>
      </c>
      <c r="C575" t="s">
        <v>1787</v>
      </c>
      <c r="D575" s="1" t="str">
        <f t="shared" si="17"/>
        <v>Chair</v>
      </c>
      <c r="E575" t="s">
        <v>2406</v>
      </c>
      <c r="F575">
        <v>5</v>
      </c>
      <c r="G575" s="7">
        <v>421.42</v>
      </c>
      <c r="H575" s="3" t="s">
        <v>2511</v>
      </c>
      <c r="I575" s="3" t="s">
        <v>3065</v>
      </c>
      <c r="J575" s="3" t="s">
        <v>3071</v>
      </c>
      <c r="K575" s="3" t="s">
        <v>3648</v>
      </c>
      <c r="L575" s="3">
        <v>7</v>
      </c>
      <c r="N575" s="3" t="s">
        <v>4278</v>
      </c>
      <c r="O575" s="7">
        <v>2107.1</v>
      </c>
      <c r="P575" s="3">
        <f t="shared" si="18"/>
        <v>2107.1</v>
      </c>
    </row>
    <row r="576" spans="1:16" x14ac:dyDescent="0.35">
      <c r="A576" t="s">
        <v>588</v>
      </c>
      <c r="B576" s="5">
        <v>45315</v>
      </c>
      <c r="C576" t="s">
        <v>1788</v>
      </c>
      <c r="D576" s="1" t="str">
        <f t="shared" si="17"/>
        <v>Chair</v>
      </c>
      <c r="E576" t="s">
        <v>2406</v>
      </c>
      <c r="F576">
        <v>5</v>
      </c>
      <c r="G576" s="7">
        <v>384.69</v>
      </c>
      <c r="H576" s="3" t="s">
        <v>2413</v>
      </c>
      <c r="I576" s="3" t="s">
        <v>3067</v>
      </c>
      <c r="J576" s="3" t="s">
        <v>3074</v>
      </c>
      <c r="K576" s="3" t="s">
        <v>3649</v>
      </c>
      <c r="L576" s="3">
        <v>6</v>
      </c>
      <c r="M576" s="10" t="s">
        <v>4276</v>
      </c>
      <c r="N576" s="3" t="s">
        <v>4280</v>
      </c>
      <c r="O576" s="7">
        <v>1923.45</v>
      </c>
      <c r="P576" s="3">
        <f t="shared" si="18"/>
        <v>1923.45</v>
      </c>
    </row>
    <row r="577" spans="1:16" x14ac:dyDescent="0.35">
      <c r="A577" t="s">
        <v>589</v>
      </c>
      <c r="B577" s="5">
        <v>45084</v>
      </c>
      <c r="C577" t="s">
        <v>1789</v>
      </c>
      <c r="D577" s="1" t="str">
        <f t="shared" si="17"/>
        <v>Laptop</v>
      </c>
      <c r="E577" t="s">
        <v>2406</v>
      </c>
      <c r="F577">
        <v>5</v>
      </c>
      <c r="G577" s="7">
        <v>448.15</v>
      </c>
      <c r="H577" s="3" t="s">
        <v>2825</v>
      </c>
      <c r="I577" s="3" t="s">
        <v>3068</v>
      </c>
      <c r="J577" s="3" t="s">
        <v>3072</v>
      </c>
      <c r="K577" s="3" t="s">
        <v>3650</v>
      </c>
      <c r="L577" s="3">
        <v>7</v>
      </c>
      <c r="M577" s="10" t="s">
        <v>4275</v>
      </c>
      <c r="N577" s="3" t="s">
        <v>4282</v>
      </c>
      <c r="O577" s="7">
        <v>2240.75</v>
      </c>
      <c r="P577" s="3">
        <f t="shared" si="18"/>
        <v>2240.75</v>
      </c>
    </row>
    <row r="578" spans="1:16" x14ac:dyDescent="0.35">
      <c r="A578" t="s">
        <v>590</v>
      </c>
      <c r="B578" s="5">
        <v>45441</v>
      </c>
      <c r="C578" t="s">
        <v>1790</v>
      </c>
      <c r="D578" s="1" t="str">
        <f t="shared" ref="D578:D625" si="19">PROPER(TRIM(E579))</f>
        <v>Tablet</v>
      </c>
      <c r="E578" t="s">
        <v>2408</v>
      </c>
      <c r="F578">
        <v>5</v>
      </c>
      <c r="G578" s="7">
        <v>79.08</v>
      </c>
      <c r="H578" s="3" t="s">
        <v>2710</v>
      </c>
      <c r="I578" s="3" t="s">
        <v>3069</v>
      </c>
      <c r="J578" s="3" t="s">
        <v>3074</v>
      </c>
      <c r="K578" s="3" t="s">
        <v>3651</v>
      </c>
      <c r="L578" s="3">
        <v>8</v>
      </c>
      <c r="N578" s="3" t="s">
        <v>4281</v>
      </c>
      <c r="O578" s="7">
        <v>395.4</v>
      </c>
      <c r="P578" s="3">
        <f t="shared" si="18"/>
        <v>395.4</v>
      </c>
    </row>
    <row r="579" spans="1:16" x14ac:dyDescent="0.35">
      <c r="A579" t="s">
        <v>591</v>
      </c>
      <c r="B579" s="5">
        <v>44948</v>
      </c>
      <c r="C579" t="s">
        <v>1791</v>
      </c>
      <c r="D579" s="1" t="str">
        <f t="shared" si="19"/>
        <v>Monitor</v>
      </c>
      <c r="E579" t="s">
        <v>2405</v>
      </c>
      <c r="F579">
        <v>4</v>
      </c>
      <c r="G579" s="7">
        <v>185.41</v>
      </c>
      <c r="H579" s="3" t="s">
        <v>2488</v>
      </c>
      <c r="I579" s="3" t="s">
        <v>3066</v>
      </c>
      <c r="J579" s="3" t="s">
        <v>3072</v>
      </c>
      <c r="K579" s="3" t="s">
        <v>3652</v>
      </c>
      <c r="L579" s="3">
        <v>9</v>
      </c>
      <c r="M579" s="10" t="s">
        <v>4277</v>
      </c>
      <c r="N579" s="3" t="s">
        <v>4282</v>
      </c>
      <c r="O579" s="7">
        <v>741.64</v>
      </c>
      <c r="P579" s="3">
        <f t="shared" ref="P579:P642" si="20">G579*F579</f>
        <v>741.64</v>
      </c>
    </row>
    <row r="580" spans="1:16" x14ac:dyDescent="0.35">
      <c r="A580" t="s">
        <v>592</v>
      </c>
      <c r="B580" s="5">
        <v>45575</v>
      </c>
      <c r="C580" t="s">
        <v>1792</v>
      </c>
      <c r="D580" s="1" t="str">
        <f t="shared" si="19"/>
        <v>Tablet</v>
      </c>
      <c r="E580" t="s">
        <v>2403</v>
      </c>
      <c r="F580">
        <v>5</v>
      </c>
      <c r="G580" s="7">
        <v>566.07000000000005</v>
      </c>
      <c r="H580" s="3" t="s">
        <v>2430</v>
      </c>
      <c r="I580" s="3" t="s">
        <v>3067</v>
      </c>
      <c r="J580" s="3" t="s">
        <v>3073</v>
      </c>
      <c r="K580" s="3" t="s">
        <v>3653</v>
      </c>
      <c r="L580" s="3">
        <v>6</v>
      </c>
      <c r="M580" s="10" t="s">
        <v>4275</v>
      </c>
      <c r="N580" s="3" t="s">
        <v>4278</v>
      </c>
      <c r="O580" s="7">
        <v>2830.35</v>
      </c>
      <c r="P580" s="3">
        <f t="shared" si="20"/>
        <v>2830.3500000000004</v>
      </c>
    </row>
    <row r="581" spans="1:16" x14ac:dyDescent="0.35">
      <c r="A581" t="s">
        <v>593</v>
      </c>
      <c r="B581" s="5">
        <v>45081</v>
      </c>
      <c r="C581" t="s">
        <v>1793</v>
      </c>
      <c r="D581" s="1" t="str">
        <f t="shared" si="19"/>
        <v>Monitor</v>
      </c>
      <c r="E581" t="s">
        <v>2405</v>
      </c>
      <c r="F581">
        <v>2</v>
      </c>
      <c r="G581" s="7">
        <v>187.88</v>
      </c>
      <c r="H581" s="3" t="s">
        <v>2679</v>
      </c>
      <c r="I581" s="3" t="s">
        <v>3066</v>
      </c>
      <c r="J581" s="3" t="s">
        <v>3070</v>
      </c>
      <c r="K581" s="3" t="s">
        <v>3654</v>
      </c>
      <c r="L581" s="3">
        <v>4</v>
      </c>
      <c r="M581" s="10" t="s">
        <v>4277</v>
      </c>
      <c r="N581" s="3" t="s">
        <v>4281</v>
      </c>
      <c r="O581" s="7">
        <v>375.76</v>
      </c>
      <c r="P581" s="3">
        <f t="shared" si="20"/>
        <v>375.76</v>
      </c>
    </row>
    <row r="582" spans="1:16" x14ac:dyDescent="0.35">
      <c r="A582" t="s">
        <v>594</v>
      </c>
      <c r="B582" s="5">
        <v>45244</v>
      </c>
      <c r="C582" t="s">
        <v>1794</v>
      </c>
      <c r="D582" s="1" t="str">
        <f t="shared" si="19"/>
        <v>Laptop</v>
      </c>
      <c r="E582" t="s">
        <v>2403</v>
      </c>
      <c r="F582">
        <v>2</v>
      </c>
      <c r="G582" s="7">
        <v>255.99</v>
      </c>
      <c r="H582" s="3" t="s">
        <v>2826</v>
      </c>
      <c r="I582" s="3" t="s">
        <v>3067</v>
      </c>
      <c r="J582" s="3" t="s">
        <v>3073</v>
      </c>
      <c r="K582" s="3" t="s">
        <v>3655</v>
      </c>
      <c r="L582" s="3">
        <v>4</v>
      </c>
      <c r="M582" s="10" t="s">
        <v>4275</v>
      </c>
      <c r="N582" s="3" t="s">
        <v>4278</v>
      </c>
      <c r="O582" s="7">
        <v>511.98</v>
      </c>
      <c r="P582" s="3">
        <f t="shared" si="20"/>
        <v>511.98</v>
      </c>
    </row>
    <row r="583" spans="1:16" x14ac:dyDescent="0.35">
      <c r="A583" t="s">
        <v>595</v>
      </c>
      <c r="B583" s="5">
        <v>45607</v>
      </c>
      <c r="C583" t="s">
        <v>1795</v>
      </c>
      <c r="D583" s="1" t="str">
        <f t="shared" si="19"/>
        <v>Tablet</v>
      </c>
      <c r="E583" t="s">
        <v>2408</v>
      </c>
      <c r="F583">
        <v>1</v>
      </c>
      <c r="G583" s="7">
        <v>627.34</v>
      </c>
      <c r="H583" s="3" t="s">
        <v>2425</v>
      </c>
      <c r="I583" s="3" t="s">
        <v>3066</v>
      </c>
      <c r="J583" s="3" t="s">
        <v>3073</v>
      </c>
      <c r="K583" s="3" t="s">
        <v>3656</v>
      </c>
      <c r="L583" s="3">
        <v>1</v>
      </c>
      <c r="N583" s="3" t="s">
        <v>4279</v>
      </c>
      <c r="O583" s="7">
        <v>627.34</v>
      </c>
      <c r="P583" s="3">
        <f t="shared" si="20"/>
        <v>627.34</v>
      </c>
    </row>
    <row r="584" spans="1:16" x14ac:dyDescent="0.35">
      <c r="A584" t="s">
        <v>596</v>
      </c>
      <c r="B584" s="5">
        <v>45341</v>
      </c>
      <c r="C584" t="s">
        <v>1796</v>
      </c>
      <c r="D584" s="1" t="str">
        <f t="shared" si="19"/>
        <v>Chair</v>
      </c>
      <c r="E584" t="s">
        <v>2405</v>
      </c>
      <c r="F584">
        <v>3</v>
      </c>
      <c r="G584" s="7">
        <v>474.14</v>
      </c>
      <c r="H584" s="3" t="s">
        <v>2727</v>
      </c>
      <c r="I584" s="3" t="s">
        <v>3068</v>
      </c>
      <c r="J584" s="3" t="s">
        <v>3070</v>
      </c>
      <c r="K584" s="3" t="s">
        <v>3657</v>
      </c>
      <c r="L584" s="3">
        <v>8</v>
      </c>
      <c r="M584" s="10" t="s">
        <v>4277</v>
      </c>
      <c r="N584" s="3" t="s">
        <v>4282</v>
      </c>
      <c r="O584" s="7">
        <v>1422.42</v>
      </c>
      <c r="P584" s="3">
        <f t="shared" si="20"/>
        <v>1422.42</v>
      </c>
    </row>
    <row r="585" spans="1:16" x14ac:dyDescent="0.35">
      <c r="A585" t="s">
        <v>597</v>
      </c>
      <c r="B585" s="5">
        <v>45823</v>
      </c>
      <c r="C585" t="s">
        <v>1797</v>
      </c>
      <c r="D585" s="1" t="str">
        <f t="shared" si="19"/>
        <v>Chair</v>
      </c>
      <c r="E585" t="s">
        <v>2406</v>
      </c>
      <c r="F585">
        <v>3</v>
      </c>
      <c r="G585" s="7">
        <v>154.37</v>
      </c>
      <c r="H585" s="3" t="s">
        <v>2441</v>
      </c>
      <c r="I585" s="3" t="s">
        <v>3068</v>
      </c>
      <c r="J585" s="3" t="s">
        <v>3073</v>
      </c>
      <c r="K585" s="3" t="s">
        <v>3658</v>
      </c>
      <c r="L585" s="3">
        <v>4</v>
      </c>
      <c r="N585" s="3" t="s">
        <v>4278</v>
      </c>
      <c r="O585" s="7">
        <v>463.11</v>
      </c>
      <c r="P585" s="3">
        <f t="shared" si="20"/>
        <v>463.11</v>
      </c>
    </row>
    <row r="586" spans="1:16" x14ac:dyDescent="0.35">
      <c r="A586" t="s">
        <v>598</v>
      </c>
      <c r="B586" s="5">
        <v>45737</v>
      </c>
      <c r="C586" t="s">
        <v>1798</v>
      </c>
      <c r="D586" s="1" t="str">
        <f t="shared" si="19"/>
        <v>Tablet</v>
      </c>
      <c r="E586" t="s">
        <v>2406</v>
      </c>
      <c r="F586">
        <v>4</v>
      </c>
      <c r="G586" s="7">
        <v>145.05000000000001</v>
      </c>
      <c r="H586" s="3" t="s">
        <v>2827</v>
      </c>
      <c r="I586" s="3" t="s">
        <v>3066</v>
      </c>
      <c r="J586" s="3" t="s">
        <v>3073</v>
      </c>
      <c r="K586" s="3" t="s">
        <v>3659</v>
      </c>
      <c r="L586" s="3">
        <v>6</v>
      </c>
      <c r="M586" s="10" t="s">
        <v>4275</v>
      </c>
      <c r="N586" s="3" t="s">
        <v>4282</v>
      </c>
      <c r="O586" s="7">
        <v>580.20000000000005</v>
      </c>
      <c r="P586" s="3">
        <f t="shared" si="20"/>
        <v>580.20000000000005</v>
      </c>
    </row>
    <row r="587" spans="1:16" x14ac:dyDescent="0.35">
      <c r="A587" t="s">
        <v>599</v>
      </c>
      <c r="B587" s="5">
        <v>45158</v>
      </c>
      <c r="C587" t="s">
        <v>1799</v>
      </c>
      <c r="D587" s="1" t="str">
        <f t="shared" si="19"/>
        <v>Monitor</v>
      </c>
      <c r="E587" t="s">
        <v>2405</v>
      </c>
      <c r="F587">
        <v>4</v>
      </c>
      <c r="G587" s="7">
        <v>67.08</v>
      </c>
      <c r="H587" s="3" t="s">
        <v>2709</v>
      </c>
      <c r="I587" s="3" t="s">
        <v>3069</v>
      </c>
      <c r="J587" s="3" t="s">
        <v>3072</v>
      </c>
      <c r="K587" s="3" t="s">
        <v>3660</v>
      </c>
      <c r="L587" s="3">
        <v>8</v>
      </c>
      <c r="M587" s="10" t="s">
        <v>4277</v>
      </c>
      <c r="N587" s="3" t="s">
        <v>4282</v>
      </c>
      <c r="O587" s="7">
        <v>268.32</v>
      </c>
      <c r="P587" s="3">
        <f t="shared" si="20"/>
        <v>268.32</v>
      </c>
    </row>
    <row r="588" spans="1:16" x14ac:dyDescent="0.35">
      <c r="A588" t="s">
        <v>600</v>
      </c>
      <c r="B588" s="5">
        <v>45606</v>
      </c>
      <c r="C588" t="s">
        <v>1800</v>
      </c>
      <c r="D588" s="1" t="str">
        <f t="shared" si="19"/>
        <v>Monitor</v>
      </c>
      <c r="E588" t="s">
        <v>2403</v>
      </c>
      <c r="F588">
        <v>1</v>
      </c>
      <c r="G588" s="7">
        <v>522.08000000000004</v>
      </c>
      <c r="H588" s="3" t="s">
        <v>2828</v>
      </c>
      <c r="I588" s="3" t="s">
        <v>3068</v>
      </c>
      <c r="J588" s="3" t="s">
        <v>3072</v>
      </c>
      <c r="K588" s="3" t="s">
        <v>3661</v>
      </c>
      <c r="L588" s="3">
        <v>5</v>
      </c>
      <c r="M588" s="10" t="s">
        <v>4276</v>
      </c>
      <c r="N588" s="3" t="s">
        <v>4279</v>
      </c>
      <c r="O588" s="7">
        <v>522.08000000000004</v>
      </c>
      <c r="P588" s="3">
        <f t="shared" si="20"/>
        <v>522.08000000000004</v>
      </c>
    </row>
    <row r="589" spans="1:16" x14ac:dyDescent="0.35">
      <c r="A589" t="s">
        <v>601</v>
      </c>
      <c r="B589" s="5">
        <v>45089</v>
      </c>
      <c r="C589" t="s">
        <v>1801</v>
      </c>
      <c r="D589" s="1" t="str">
        <f t="shared" si="19"/>
        <v>Monitor</v>
      </c>
      <c r="E589" t="s">
        <v>2403</v>
      </c>
      <c r="F589">
        <v>5</v>
      </c>
      <c r="G589" s="7">
        <v>514.6</v>
      </c>
      <c r="H589" s="3" t="s">
        <v>2829</v>
      </c>
      <c r="I589" s="3" t="s">
        <v>3068</v>
      </c>
      <c r="J589" s="3" t="s">
        <v>3073</v>
      </c>
      <c r="K589" s="3" t="s">
        <v>3662</v>
      </c>
      <c r="L589" s="3">
        <v>10</v>
      </c>
      <c r="M589" s="10" t="s">
        <v>4276</v>
      </c>
      <c r="N589" s="3" t="s">
        <v>4278</v>
      </c>
      <c r="O589" s="7">
        <v>2573</v>
      </c>
      <c r="P589" s="3">
        <f t="shared" si="20"/>
        <v>2573</v>
      </c>
    </row>
    <row r="590" spans="1:16" x14ac:dyDescent="0.35">
      <c r="A590" t="s">
        <v>602</v>
      </c>
      <c r="B590" s="5">
        <v>45636</v>
      </c>
      <c r="C590" t="s">
        <v>1802</v>
      </c>
      <c r="D590" s="1" t="str">
        <f t="shared" si="19"/>
        <v>Laptop</v>
      </c>
      <c r="E590" t="s">
        <v>2403</v>
      </c>
      <c r="F590">
        <v>4</v>
      </c>
      <c r="G590" s="7">
        <v>577.82000000000005</v>
      </c>
      <c r="H590" s="3" t="s">
        <v>2465</v>
      </c>
      <c r="I590" s="3" t="s">
        <v>3067</v>
      </c>
      <c r="J590" s="3" t="s">
        <v>3073</v>
      </c>
      <c r="K590" s="3" t="s">
        <v>3663</v>
      </c>
      <c r="L590" s="3">
        <v>9</v>
      </c>
      <c r="N590" s="3" t="s">
        <v>4282</v>
      </c>
      <c r="O590" s="7">
        <v>2311.2800000000002</v>
      </c>
      <c r="P590" s="3">
        <f t="shared" si="20"/>
        <v>2311.2800000000002</v>
      </c>
    </row>
    <row r="591" spans="1:16" x14ac:dyDescent="0.35">
      <c r="A591" t="s">
        <v>603</v>
      </c>
      <c r="B591" s="5">
        <v>45698</v>
      </c>
      <c r="C591" t="s">
        <v>1803</v>
      </c>
      <c r="D591" s="1" t="str">
        <f t="shared" si="19"/>
        <v>Printer</v>
      </c>
      <c r="E591" t="s">
        <v>2408</v>
      </c>
      <c r="F591">
        <v>2</v>
      </c>
      <c r="G591" s="7">
        <v>500.8</v>
      </c>
      <c r="H591" s="3" t="s">
        <v>2830</v>
      </c>
      <c r="I591" s="3" t="s">
        <v>3069</v>
      </c>
      <c r="J591" s="3" t="s">
        <v>3073</v>
      </c>
      <c r="K591" s="3" t="s">
        <v>3664</v>
      </c>
      <c r="L591" s="3">
        <v>3</v>
      </c>
      <c r="M591" s="10" t="s">
        <v>4276</v>
      </c>
      <c r="N591" s="3" t="s">
        <v>4279</v>
      </c>
      <c r="O591" s="7">
        <v>1001.6</v>
      </c>
      <c r="P591" s="3">
        <f t="shared" si="20"/>
        <v>1001.6</v>
      </c>
    </row>
    <row r="592" spans="1:16" x14ac:dyDescent="0.35">
      <c r="A592" t="s">
        <v>604</v>
      </c>
      <c r="B592" s="5">
        <v>45179</v>
      </c>
      <c r="C592" t="s">
        <v>1804</v>
      </c>
      <c r="D592" s="1" t="str">
        <f t="shared" si="19"/>
        <v>Laptop</v>
      </c>
      <c r="E592" t="s">
        <v>2407</v>
      </c>
      <c r="F592">
        <v>2</v>
      </c>
      <c r="G592" s="7">
        <v>461.13</v>
      </c>
      <c r="H592" s="3" t="s">
        <v>2831</v>
      </c>
      <c r="I592" s="3" t="s">
        <v>3068</v>
      </c>
      <c r="J592" s="3" t="s">
        <v>3072</v>
      </c>
      <c r="K592" s="3" t="s">
        <v>3665</v>
      </c>
      <c r="L592" s="3">
        <v>4</v>
      </c>
      <c r="N592" s="3" t="s">
        <v>4280</v>
      </c>
      <c r="O592" s="7">
        <v>922.26</v>
      </c>
      <c r="P592" s="3">
        <f t="shared" si="20"/>
        <v>922.26</v>
      </c>
    </row>
    <row r="593" spans="1:16" x14ac:dyDescent="0.35">
      <c r="A593" t="s">
        <v>605</v>
      </c>
      <c r="B593" s="5">
        <v>45614</v>
      </c>
      <c r="C593" t="s">
        <v>1805</v>
      </c>
      <c r="D593" s="1" t="str">
        <f t="shared" si="19"/>
        <v>Phone</v>
      </c>
      <c r="E593" t="s">
        <v>2408</v>
      </c>
      <c r="F593">
        <v>1</v>
      </c>
      <c r="G593" s="7">
        <v>605.28</v>
      </c>
      <c r="H593" s="3" t="s">
        <v>2832</v>
      </c>
      <c r="I593" s="3" t="s">
        <v>3068</v>
      </c>
      <c r="J593" s="3" t="s">
        <v>3070</v>
      </c>
      <c r="K593" s="3" t="s">
        <v>3666</v>
      </c>
      <c r="L593" s="3">
        <v>3</v>
      </c>
      <c r="M593" s="10" t="s">
        <v>4276</v>
      </c>
      <c r="N593" s="3" t="s">
        <v>4279</v>
      </c>
      <c r="O593" s="7">
        <v>605.28</v>
      </c>
      <c r="P593" s="3">
        <f t="shared" si="20"/>
        <v>605.28</v>
      </c>
    </row>
    <row r="594" spans="1:16" x14ac:dyDescent="0.35">
      <c r="A594" t="s">
        <v>606</v>
      </c>
      <c r="B594" s="5">
        <v>45405</v>
      </c>
      <c r="C594" t="s">
        <v>1806</v>
      </c>
      <c r="D594" s="1" t="str">
        <f t="shared" si="19"/>
        <v>Monitor</v>
      </c>
      <c r="E594" t="s">
        <v>2404</v>
      </c>
      <c r="F594">
        <v>3</v>
      </c>
      <c r="G594" s="7">
        <v>204.27</v>
      </c>
      <c r="H594" s="3" t="s">
        <v>2803</v>
      </c>
      <c r="I594" s="3" t="s">
        <v>3066</v>
      </c>
      <c r="J594" s="3" t="s">
        <v>3072</v>
      </c>
      <c r="K594" s="3" t="s">
        <v>3667</v>
      </c>
      <c r="L594" s="3">
        <v>4</v>
      </c>
      <c r="N594" s="3" t="s">
        <v>4282</v>
      </c>
      <c r="O594" s="7">
        <v>612.81000000000006</v>
      </c>
      <c r="P594" s="3">
        <f t="shared" si="20"/>
        <v>612.81000000000006</v>
      </c>
    </row>
    <row r="595" spans="1:16" x14ac:dyDescent="0.35">
      <c r="A595" t="s">
        <v>607</v>
      </c>
      <c r="B595" s="5">
        <v>45140</v>
      </c>
      <c r="C595" t="s">
        <v>1807</v>
      </c>
      <c r="D595" s="1" t="str">
        <f t="shared" si="19"/>
        <v>Phone</v>
      </c>
      <c r="E595" t="s">
        <v>2403</v>
      </c>
      <c r="F595">
        <v>1</v>
      </c>
      <c r="G595" s="7">
        <v>489.8</v>
      </c>
      <c r="H595" s="3" t="s">
        <v>2535</v>
      </c>
      <c r="I595" s="3" t="s">
        <v>3068</v>
      </c>
      <c r="J595" s="3" t="s">
        <v>3070</v>
      </c>
      <c r="K595" s="3" t="s">
        <v>3668</v>
      </c>
      <c r="L595" s="3">
        <v>4</v>
      </c>
      <c r="M595" s="10" t="s">
        <v>4276</v>
      </c>
      <c r="N595" s="3" t="s">
        <v>4281</v>
      </c>
      <c r="O595" s="7">
        <v>489.8</v>
      </c>
      <c r="P595" s="3">
        <f t="shared" si="20"/>
        <v>489.8</v>
      </c>
    </row>
    <row r="596" spans="1:16" x14ac:dyDescent="0.35">
      <c r="A596" t="s">
        <v>608</v>
      </c>
      <c r="B596" s="5">
        <v>45343</v>
      </c>
      <c r="C596" t="s">
        <v>1808</v>
      </c>
      <c r="D596" s="1" t="str">
        <f t="shared" si="19"/>
        <v>Printer</v>
      </c>
      <c r="E596" t="s">
        <v>2404</v>
      </c>
      <c r="F596">
        <v>5</v>
      </c>
      <c r="G596" s="7">
        <v>72.64</v>
      </c>
      <c r="H596" s="3" t="s">
        <v>2538</v>
      </c>
      <c r="I596" s="3" t="s">
        <v>3067</v>
      </c>
      <c r="J596" s="3" t="s">
        <v>3071</v>
      </c>
      <c r="K596" s="3" t="s">
        <v>3669</v>
      </c>
      <c r="L596" s="3">
        <v>7</v>
      </c>
      <c r="N596" s="3" t="s">
        <v>4280</v>
      </c>
      <c r="O596" s="7">
        <v>363.2</v>
      </c>
      <c r="P596" s="3">
        <f t="shared" si="20"/>
        <v>363.2</v>
      </c>
    </row>
    <row r="597" spans="1:16" x14ac:dyDescent="0.35">
      <c r="A597" t="s">
        <v>609</v>
      </c>
      <c r="B597" s="5">
        <v>45667</v>
      </c>
      <c r="C597" t="s">
        <v>1809</v>
      </c>
      <c r="D597" s="1" t="str">
        <f t="shared" si="19"/>
        <v>Desk</v>
      </c>
      <c r="E597" t="s">
        <v>2407</v>
      </c>
      <c r="F597">
        <v>2</v>
      </c>
      <c r="G597" s="7">
        <v>385.16</v>
      </c>
      <c r="H597" s="3" t="s">
        <v>2833</v>
      </c>
      <c r="I597" s="3" t="s">
        <v>3066</v>
      </c>
      <c r="J597" s="3" t="s">
        <v>3074</v>
      </c>
      <c r="K597" s="3" t="s">
        <v>3670</v>
      </c>
      <c r="L597" s="3">
        <v>7</v>
      </c>
      <c r="M597" s="10" t="s">
        <v>4275</v>
      </c>
      <c r="N597" s="3" t="s">
        <v>4280</v>
      </c>
      <c r="O597" s="7">
        <v>770.32</v>
      </c>
      <c r="P597" s="3">
        <f t="shared" si="20"/>
        <v>770.32</v>
      </c>
    </row>
    <row r="598" spans="1:16" x14ac:dyDescent="0.35">
      <c r="A598" t="s">
        <v>610</v>
      </c>
      <c r="B598" s="5">
        <v>45089</v>
      </c>
      <c r="C598" t="s">
        <v>1810</v>
      </c>
      <c r="D598" s="1" t="str">
        <f t="shared" si="19"/>
        <v>Desk</v>
      </c>
      <c r="E598" t="s">
        <v>2409</v>
      </c>
      <c r="F598">
        <v>3</v>
      </c>
      <c r="G598" s="7">
        <v>606.41</v>
      </c>
      <c r="H598" s="3" t="s">
        <v>2834</v>
      </c>
      <c r="I598" s="3" t="s">
        <v>3065</v>
      </c>
      <c r="J598" s="3" t="s">
        <v>3072</v>
      </c>
      <c r="K598" s="3" t="s">
        <v>3671</v>
      </c>
      <c r="L598" s="3">
        <v>7</v>
      </c>
      <c r="M598" s="10" t="s">
        <v>4276</v>
      </c>
      <c r="N598" s="3" t="s">
        <v>4281</v>
      </c>
      <c r="O598" s="7">
        <v>1819.23</v>
      </c>
      <c r="P598" s="3">
        <f t="shared" si="20"/>
        <v>1819.23</v>
      </c>
    </row>
    <row r="599" spans="1:16" x14ac:dyDescent="0.35">
      <c r="A599" t="s">
        <v>611</v>
      </c>
      <c r="B599" s="5">
        <v>45621</v>
      </c>
      <c r="C599" t="s">
        <v>1811</v>
      </c>
      <c r="D599" s="1" t="str">
        <f t="shared" si="19"/>
        <v>Desk</v>
      </c>
      <c r="E599" t="s">
        <v>2409</v>
      </c>
      <c r="F599">
        <v>2</v>
      </c>
      <c r="G599" s="7">
        <v>211.82</v>
      </c>
      <c r="H599" s="3" t="s">
        <v>2835</v>
      </c>
      <c r="I599" s="3" t="s">
        <v>3068</v>
      </c>
      <c r="J599" s="3" t="s">
        <v>3071</v>
      </c>
      <c r="K599" s="3" t="s">
        <v>3672</v>
      </c>
      <c r="L599" s="3">
        <v>4</v>
      </c>
      <c r="M599" s="10" t="s">
        <v>4277</v>
      </c>
      <c r="N599" s="3" t="s">
        <v>4280</v>
      </c>
      <c r="O599" s="7">
        <v>423.64</v>
      </c>
      <c r="P599" s="3">
        <f t="shared" si="20"/>
        <v>423.64</v>
      </c>
    </row>
    <row r="600" spans="1:16" x14ac:dyDescent="0.35">
      <c r="A600" t="s">
        <v>612</v>
      </c>
      <c r="B600" s="5">
        <v>45408</v>
      </c>
      <c r="C600" t="s">
        <v>1812</v>
      </c>
      <c r="D600" s="1" t="str">
        <f t="shared" si="19"/>
        <v>Chair</v>
      </c>
      <c r="E600" t="s">
        <v>2409</v>
      </c>
      <c r="F600">
        <v>5</v>
      </c>
      <c r="G600" s="7">
        <v>495.35</v>
      </c>
      <c r="H600" s="3" t="s">
        <v>2693</v>
      </c>
      <c r="I600" s="3" t="s">
        <v>3067</v>
      </c>
      <c r="J600" s="3" t="s">
        <v>3074</v>
      </c>
      <c r="K600" s="3" t="s">
        <v>3673</v>
      </c>
      <c r="L600" s="3">
        <v>5</v>
      </c>
      <c r="N600" s="3" t="s">
        <v>4281</v>
      </c>
      <c r="O600" s="7">
        <v>2476.75</v>
      </c>
      <c r="P600" s="3">
        <f t="shared" si="20"/>
        <v>2476.75</v>
      </c>
    </row>
    <row r="601" spans="1:16" x14ac:dyDescent="0.35">
      <c r="A601" t="s">
        <v>613</v>
      </c>
      <c r="B601" s="5">
        <v>45107</v>
      </c>
      <c r="C601" t="s">
        <v>1813</v>
      </c>
      <c r="D601" s="1" t="str">
        <f t="shared" si="19"/>
        <v>Printer</v>
      </c>
      <c r="E601" t="s">
        <v>2406</v>
      </c>
      <c r="F601">
        <v>3</v>
      </c>
      <c r="G601" s="7">
        <v>556.99</v>
      </c>
      <c r="H601" s="3" t="s">
        <v>2739</v>
      </c>
      <c r="I601" s="3" t="s">
        <v>3066</v>
      </c>
      <c r="J601" s="3" t="s">
        <v>3071</v>
      </c>
      <c r="K601" s="3" t="s">
        <v>3674</v>
      </c>
      <c r="L601" s="3">
        <v>4</v>
      </c>
      <c r="M601" s="10" t="s">
        <v>4276</v>
      </c>
      <c r="N601" s="3" t="s">
        <v>4281</v>
      </c>
      <c r="O601" s="7">
        <v>1670.97</v>
      </c>
      <c r="P601" s="3">
        <f t="shared" si="20"/>
        <v>1670.97</v>
      </c>
    </row>
    <row r="602" spans="1:16" x14ac:dyDescent="0.35">
      <c r="A602" t="s">
        <v>614</v>
      </c>
      <c r="B602" s="5">
        <v>45072</v>
      </c>
      <c r="C602" t="s">
        <v>1814</v>
      </c>
      <c r="D602" s="1" t="str">
        <f t="shared" si="19"/>
        <v>Monitor</v>
      </c>
      <c r="E602" t="s">
        <v>2407</v>
      </c>
      <c r="F602">
        <v>1</v>
      </c>
      <c r="G602" s="7">
        <v>72.31</v>
      </c>
      <c r="H602" s="3" t="s">
        <v>2633</v>
      </c>
      <c r="I602" s="3" t="s">
        <v>3068</v>
      </c>
      <c r="J602" s="3" t="s">
        <v>3071</v>
      </c>
      <c r="K602" s="3" t="s">
        <v>3675</v>
      </c>
      <c r="L602" s="3">
        <v>1</v>
      </c>
      <c r="M602" s="10" t="s">
        <v>4276</v>
      </c>
      <c r="N602" s="3" t="s">
        <v>4281</v>
      </c>
      <c r="O602" s="7">
        <v>72.31</v>
      </c>
      <c r="P602" s="3">
        <f t="shared" si="20"/>
        <v>72.31</v>
      </c>
    </row>
    <row r="603" spans="1:16" x14ac:dyDescent="0.35">
      <c r="A603" t="s">
        <v>615</v>
      </c>
      <c r="B603" s="5">
        <v>45201</v>
      </c>
      <c r="C603" t="s">
        <v>1815</v>
      </c>
      <c r="D603" s="1" t="str">
        <f t="shared" si="19"/>
        <v>Tablet</v>
      </c>
      <c r="E603" t="s">
        <v>2403</v>
      </c>
      <c r="F603">
        <v>5</v>
      </c>
      <c r="G603" s="7">
        <v>24.82</v>
      </c>
      <c r="H603" s="3" t="s">
        <v>2836</v>
      </c>
      <c r="I603" s="3" t="s">
        <v>3067</v>
      </c>
      <c r="J603" s="3" t="s">
        <v>3070</v>
      </c>
      <c r="K603" s="3" t="s">
        <v>3676</v>
      </c>
      <c r="L603" s="3">
        <v>10</v>
      </c>
      <c r="N603" s="3" t="s">
        <v>4279</v>
      </c>
      <c r="O603" s="7">
        <v>124.1</v>
      </c>
      <c r="P603" s="3">
        <f t="shared" si="20"/>
        <v>124.1</v>
      </c>
    </row>
    <row r="604" spans="1:16" x14ac:dyDescent="0.35">
      <c r="A604" t="s">
        <v>616</v>
      </c>
      <c r="B604" s="5">
        <v>45356</v>
      </c>
      <c r="C604" t="s">
        <v>1696</v>
      </c>
      <c r="D604" s="1" t="str">
        <f t="shared" si="19"/>
        <v>Tablet</v>
      </c>
      <c r="E604" t="s">
        <v>2405</v>
      </c>
      <c r="F604">
        <v>4</v>
      </c>
      <c r="G604" s="7">
        <v>26.04</v>
      </c>
      <c r="H604" s="3" t="s">
        <v>2782</v>
      </c>
      <c r="I604" s="3" t="s">
        <v>3066</v>
      </c>
      <c r="J604" s="3" t="s">
        <v>3074</v>
      </c>
      <c r="K604" s="3" t="s">
        <v>3677</v>
      </c>
      <c r="L604" s="3">
        <v>5</v>
      </c>
      <c r="M604" s="10" t="s">
        <v>4275</v>
      </c>
      <c r="N604" s="3" t="s">
        <v>4278</v>
      </c>
      <c r="O604" s="7">
        <v>104.16</v>
      </c>
      <c r="P604" s="3">
        <f t="shared" si="20"/>
        <v>104.16</v>
      </c>
    </row>
    <row r="605" spans="1:16" x14ac:dyDescent="0.35">
      <c r="A605" t="s">
        <v>617</v>
      </c>
      <c r="B605" s="5">
        <v>45569</v>
      </c>
      <c r="C605" t="s">
        <v>1816</v>
      </c>
      <c r="D605" s="1" t="str">
        <f t="shared" si="19"/>
        <v>Chair</v>
      </c>
      <c r="E605" t="s">
        <v>2405</v>
      </c>
      <c r="F605">
        <v>1</v>
      </c>
      <c r="G605" s="7">
        <v>657.07</v>
      </c>
      <c r="H605" s="3" t="s">
        <v>2837</v>
      </c>
      <c r="I605" s="3" t="s">
        <v>3069</v>
      </c>
      <c r="J605" s="3" t="s">
        <v>3074</v>
      </c>
      <c r="K605" s="3" t="s">
        <v>3678</v>
      </c>
      <c r="L605" s="3">
        <v>4</v>
      </c>
      <c r="M605" s="10" t="s">
        <v>4275</v>
      </c>
      <c r="N605" s="3" t="s">
        <v>4282</v>
      </c>
      <c r="O605" s="7">
        <v>657.07</v>
      </c>
      <c r="P605" s="3">
        <f t="shared" si="20"/>
        <v>657.07</v>
      </c>
    </row>
    <row r="606" spans="1:16" x14ac:dyDescent="0.35">
      <c r="A606" t="s">
        <v>618</v>
      </c>
      <c r="B606" s="5">
        <v>45830</v>
      </c>
      <c r="C606" t="s">
        <v>1817</v>
      </c>
      <c r="D606" s="1" t="str">
        <f t="shared" si="19"/>
        <v>Monitor</v>
      </c>
      <c r="E606" t="s">
        <v>2406</v>
      </c>
      <c r="F606">
        <v>3</v>
      </c>
      <c r="G606" s="7">
        <v>32.619999999999997</v>
      </c>
      <c r="H606" s="3" t="s">
        <v>2661</v>
      </c>
      <c r="I606" s="3" t="s">
        <v>3065</v>
      </c>
      <c r="J606" s="3" t="s">
        <v>3073</v>
      </c>
      <c r="K606" s="3" t="s">
        <v>3679</v>
      </c>
      <c r="L606" s="3">
        <v>6</v>
      </c>
      <c r="N606" s="3" t="s">
        <v>4281</v>
      </c>
      <c r="O606" s="7">
        <v>97.859999999999985</v>
      </c>
      <c r="P606" s="3">
        <f t="shared" si="20"/>
        <v>97.859999999999985</v>
      </c>
    </row>
    <row r="607" spans="1:16" x14ac:dyDescent="0.35">
      <c r="A607" t="s">
        <v>619</v>
      </c>
      <c r="B607" s="5">
        <v>45422</v>
      </c>
      <c r="C607" t="s">
        <v>1818</v>
      </c>
      <c r="D607" s="1" t="str">
        <f t="shared" si="19"/>
        <v>Laptop</v>
      </c>
      <c r="E607" t="s">
        <v>2403</v>
      </c>
      <c r="F607">
        <v>2</v>
      </c>
      <c r="G607" s="7">
        <v>228.91</v>
      </c>
      <c r="H607" s="3" t="s">
        <v>2838</v>
      </c>
      <c r="I607" s="3" t="s">
        <v>3065</v>
      </c>
      <c r="J607" s="3" t="s">
        <v>3070</v>
      </c>
      <c r="K607" s="3" t="s">
        <v>3680</v>
      </c>
      <c r="L607" s="3">
        <v>4</v>
      </c>
      <c r="M607" s="10" t="s">
        <v>4275</v>
      </c>
      <c r="N607" s="3" t="s">
        <v>4279</v>
      </c>
      <c r="O607" s="7">
        <v>457.82</v>
      </c>
      <c r="P607" s="3">
        <f t="shared" si="20"/>
        <v>457.82</v>
      </c>
    </row>
    <row r="608" spans="1:16" x14ac:dyDescent="0.35">
      <c r="A608" t="s">
        <v>620</v>
      </c>
      <c r="B608" s="5">
        <v>45602</v>
      </c>
      <c r="C608" t="s">
        <v>1819</v>
      </c>
      <c r="D608" s="1" t="str">
        <f t="shared" si="19"/>
        <v>Printer</v>
      </c>
      <c r="E608" t="s">
        <v>2408</v>
      </c>
      <c r="F608">
        <v>3</v>
      </c>
      <c r="G608" s="7">
        <v>274.75</v>
      </c>
      <c r="H608" s="3" t="s">
        <v>2614</v>
      </c>
      <c r="I608" s="3" t="s">
        <v>3069</v>
      </c>
      <c r="J608" s="3" t="s">
        <v>3071</v>
      </c>
      <c r="K608" s="3" t="s">
        <v>3681</v>
      </c>
      <c r="L608" s="3">
        <v>3</v>
      </c>
      <c r="M608" s="10" t="s">
        <v>4275</v>
      </c>
      <c r="N608" s="3" t="s">
        <v>4282</v>
      </c>
      <c r="O608" s="7">
        <v>824.25</v>
      </c>
      <c r="P608" s="3">
        <f t="shared" si="20"/>
        <v>824.25</v>
      </c>
    </row>
    <row r="609" spans="1:16" x14ac:dyDescent="0.35">
      <c r="A609" t="s">
        <v>621</v>
      </c>
      <c r="B609" s="5">
        <v>45808</v>
      </c>
      <c r="C609" t="s">
        <v>1820</v>
      </c>
      <c r="D609" s="1" t="str">
        <f t="shared" si="19"/>
        <v>Laptop</v>
      </c>
      <c r="E609" t="s">
        <v>2407</v>
      </c>
      <c r="F609">
        <v>4</v>
      </c>
      <c r="G609" s="7">
        <v>634.04999999999995</v>
      </c>
      <c r="H609" s="3" t="s">
        <v>2839</v>
      </c>
      <c r="I609" s="3" t="s">
        <v>3069</v>
      </c>
      <c r="J609" s="3" t="s">
        <v>3070</v>
      </c>
      <c r="K609" s="3" t="s">
        <v>3682</v>
      </c>
      <c r="L609" s="3">
        <v>6</v>
      </c>
      <c r="M609" s="10" t="s">
        <v>4275</v>
      </c>
      <c r="N609" s="3" t="s">
        <v>4282</v>
      </c>
      <c r="O609" s="7">
        <v>2536.1999999999998</v>
      </c>
      <c r="P609" s="3">
        <f t="shared" si="20"/>
        <v>2536.1999999999998</v>
      </c>
    </row>
    <row r="610" spans="1:16" x14ac:dyDescent="0.35">
      <c r="A610" t="s">
        <v>622</v>
      </c>
      <c r="B610" s="5">
        <v>45497</v>
      </c>
      <c r="C610" t="s">
        <v>1821</v>
      </c>
      <c r="D610" s="1" t="str">
        <f t="shared" si="19"/>
        <v>Chair</v>
      </c>
      <c r="E610" t="s">
        <v>2408</v>
      </c>
      <c r="F610">
        <v>5</v>
      </c>
      <c r="G610" s="7">
        <v>543.16</v>
      </c>
      <c r="H610" s="3" t="s">
        <v>2840</v>
      </c>
      <c r="I610" s="3" t="s">
        <v>3066</v>
      </c>
      <c r="J610" s="3" t="s">
        <v>3071</v>
      </c>
      <c r="K610" s="3" t="s">
        <v>3683</v>
      </c>
      <c r="L610" s="3">
        <v>6</v>
      </c>
      <c r="M610" s="10" t="s">
        <v>4275</v>
      </c>
      <c r="N610" s="3" t="s">
        <v>4278</v>
      </c>
      <c r="O610" s="7">
        <v>2715.8</v>
      </c>
      <c r="P610" s="3">
        <f t="shared" si="20"/>
        <v>2715.7999999999997</v>
      </c>
    </row>
    <row r="611" spans="1:16" x14ac:dyDescent="0.35">
      <c r="A611" t="s">
        <v>623</v>
      </c>
      <c r="B611" s="5">
        <v>45684</v>
      </c>
      <c r="C611" t="s">
        <v>1822</v>
      </c>
      <c r="D611" s="1" t="str">
        <f t="shared" si="19"/>
        <v>Desk</v>
      </c>
      <c r="E611" t="s">
        <v>2406</v>
      </c>
      <c r="F611">
        <v>3</v>
      </c>
      <c r="G611" s="7">
        <v>449.13</v>
      </c>
      <c r="H611" s="3" t="s">
        <v>2841</v>
      </c>
      <c r="I611" s="3" t="s">
        <v>3069</v>
      </c>
      <c r="J611" s="3" t="s">
        <v>3072</v>
      </c>
      <c r="K611" s="3" t="s">
        <v>3684</v>
      </c>
      <c r="L611" s="3">
        <v>5</v>
      </c>
      <c r="M611" s="10" t="s">
        <v>4277</v>
      </c>
      <c r="N611" s="3" t="s">
        <v>4279</v>
      </c>
      <c r="O611" s="7">
        <v>1347.39</v>
      </c>
      <c r="P611" s="3">
        <f t="shared" si="20"/>
        <v>1347.3899999999999</v>
      </c>
    </row>
    <row r="612" spans="1:16" x14ac:dyDescent="0.35">
      <c r="A612" t="s">
        <v>624</v>
      </c>
      <c r="B612" s="5">
        <v>45459</v>
      </c>
      <c r="C612" t="s">
        <v>1823</v>
      </c>
      <c r="D612" s="1" t="str">
        <f t="shared" si="19"/>
        <v>Desk</v>
      </c>
      <c r="E612" t="s">
        <v>2409</v>
      </c>
      <c r="F612">
        <v>5</v>
      </c>
      <c r="G612" s="7">
        <v>389.62</v>
      </c>
      <c r="H612" s="3" t="s">
        <v>2460</v>
      </c>
      <c r="I612" s="3" t="s">
        <v>3069</v>
      </c>
      <c r="J612" s="3" t="s">
        <v>3072</v>
      </c>
      <c r="K612" s="3" t="s">
        <v>3685</v>
      </c>
      <c r="L612" s="3">
        <v>7</v>
      </c>
      <c r="M612" s="10" t="s">
        <v>4276</v>
      </c>
      <c r="N612" s="3" t="s">
        <v>4281</v>
      </c>
      <c r="O612" s="7">
        <v>1948.1</v>
      </c>
      <c r="P612" s="3">
        <f t="shared" si="20"/>
        <v>1948.1</v>
      </c>
    </row>
    <row r="613" spans="1:16" x14ac:dyDescent="0.35">
      <c r="A613" t="s">
        <v>625</v>
      </c>
      <c r="B613" s="5">
        <v>45037</v>
      </c>
      <c r="C613" t="s">
        <v>1824</v>
      </c>
      <c r="D613" s="1" t="str">
        <f t="shared" si="19"/>
        <v>Chair</v>
      </c>
      <c r="E613" t="s">
        <v>2409</v>
      </c>
      <c r="F613">
        <v>1</v>
      </c>
      <c r="G613" s="7">
        <v>305.17</v>
      </c>
      <c r="H613" s="3" t="s">
        <v>2835</v>
      </c>
      <c r="I613" s="3" t="s">
        <v>3068</v>
      </c>
      <c r="J613" s="3" t="s">
        <v>3072</v>
      </c>
      <c r="K613" s="3" t="s">
        <v>3686</v>
      </c>
      <c r="L613" s="3">
        <v>3</v>
      </c>
      <c r="M613" s="10" t="s">
        <v>4277</v>
      </c>
      <c r="N613" s="3" t="s">
        <v>4279</v>
      </c>
      <c r="O613" s="7">
        <v>305.17</v>
      </c>
      <c r="P613" s="3">
        <f t="shared" si="20"/>
        <v>305.17</v>
      </c>
    </row>
    <row r="614" spans="1:16" x14ac:dyDescent="0.35">
      <c r="A614" t="s">
        <v>626</v>
      </c>
      <c r="B614" s="5">
        <v>45079</v>
      </c>
      <c r="C614" t="s">
        <v>1825</v>
      </c>
      <c r="D614" s="1" t="str">
        <f t="shared" si="19"/>
        <v>Laptop</v>
      </c>
      <c r="E614" t="s">
        <v>2406</v>
      </c>
      <c r="F614">
        <v>3</v>
      </c>
      <c r="G614" s="7">
        <v>445.12</v>
      </c>
      <c r="H614" s="3" t="s">
        <v>2678</v>
      </c>
      <c r="I614" s="3" t="s">
        <v>3068</v>
      </c>
      <c r="J614" s="3" t="s">
        <v>3071</v>
      </c>
      <c r="K614" s="3" t="s">
        <v>3687</v>
      </c>
      <c r="L614" s="3">
        <v>8</v>
      </c>
      <c r="N614" s="3" t="s">
        <v>4282</v>
      </c>
      <c r="O614" s="7">
        <v>1335.36</v>
      </c>
      <c r="P614" s="3">
        <f t="shared" si="20"/>
        <v>1335.3600000000001</v>
      </c>
    </row>
    <row r="615" spans="1:16" x14ac:dyDescent="0.35">
      <c r="A615" t="s">
        <v>627</v>
      </c>
      <c r="B615" s="5">
        <v>45645</v>
      </c>
      <c r="C615" t="s">
        <v>1826</v>
      </c>
      <c r="D615" s="1" t="str">
        <f t="shared" si="19"/>
        <v>Phone</v>
      </c>
      <c r="E615" t="s">
        <v>2408</v>
      </c>
      <c r="F615">
        <v>2</v>
      </c>
      <c r="G615" s="7">
        <v>230.36</v>
      </c>
      <c r="H615" s="3" t="s">
        <v>2842</v>
      </c>
      <c r="I615" s="3" t="s">
        <v>3066</v>
      </c>
      <c r="J615" s="3" t="s">
        <v>3072</v>
      </c>
      <c r="K615" s="3" t="s">
        <v>3688</v>
      </c>
      <c r="L615" s="3">
        <v>4</v>
      </c>
      <c r="M615" s="10" t="s">
        <v>4277</v>
      </c>
      <c r="N615" s="3" t="s">
        <v>4280</v>
      </c>
      <c r="O615" s="7">
        <v>460.72</v>
      </c>
      <c r="P615" s="3">
        <f t="shared" si="20"/>
        <v>460.72</v>
      </c>
    </row>
    <row r="616" spans="1:16" x14ac:dyDescent="0.35">
      <c r="A616" t="s">
        <v>628</v>
      </c>
      <c r="B616" s="5">
        <v>45359</v>
      </c>
      <c r="C616" t="s">
        <v>1827</v>
      </c>
      <c r="D616" s="1" t="str">
        <f t="shared" si="19"/>
        <v>Monitor</v>
      </c>
      <c r="E616" t="s">
        <v>2404</v>
      </c>
      <c r="F616">
        <v>1</v>
      </c>
      <c r="G616" s="7">
        <v>96.81</v>
      </c>
      <c r="H616" s="3" t="s">
        <v>2521</v>
      </c>
      <c r="I616" s="3" t="s">
        <v>3068</v>
      </c>
      <c r="J616" s="3" t="s">
        <v>3071</v>
      </c>
      <c r="K616" s="3" t="s">
        <v>3689</v>
      </c>
      <c r="L616" s="3">
        <v>3</v>
      </c>
      <c r="N616" s="3" t="s">
        <v>4279</v>
      </c>
      <c r="O616" s="7">
        <v>96.81</v>
      </c>
      <c r="P616" s="3">
        <f t="shared" si="20"/>
        <v>96.81</v>
      </c>
    </row>
    <row r="617" spans="1:16" x14ac:dyDescent="0.35">
      <c r="A617" t="s">
        <v>629</v>
      </c>
      <c r="B617" s="5">
        <v>45723</v>
      </c>
      <c r="C617" t="s">
        <v>1828</v>
      </c>
      <c r="D617" s="1" t="str">
        <f t="shared" si="19"/>
        <v>Tablet</v>
      </c>
      <c r="E617" t="s">
        <v>2403</v>
      </c>
      <c r="F617">
        <v>5</v>
      </c>
      <c r="G617" s="7">
        <v>460.14</v>
      </c>
      <c r="H617" s="3" t="s">
        <v>2661</v>
      </c>
      <c r="I617" s="3" t="s">
        <v>3067</v>
      </c>
      <c r="J617" s="3" t="s">
        <v>3072</v>
      </c>
      <c r="K617" s="3" t="s">
        <v>3690</v>
      </c>
      <c r="L617" s="3">
        <v>10</v>
      </c>
      <c r="M617" s="10" t="s">
        <v>4277</v>
      </c>
      <c r="N617" s="3" t="s">
        <v>4281</v>
      </c>
      <c r="O617" s="7">
        <v>2300.6999999999998</v>
      </c>
      <c r="P617" s="3">
        <f t="shared" si="20"/>
        <v>2300.6999999999998</v>
      </c>
    </row>
    <row r="618" spans="1:16" x14ac:dyDescent="0.35">
      <c r="A618" t="s">
        <v>630</v>
      </c>
      <c r="B618" s="5">
        <v>45582</v>
      </c>
      <c r="C618" t="s">
        <v>1829</v>
      </c>
      <c r="D618" s="1" t="str">
        <f t="shared" si="19"/>
        <v>Tablet</v>
      </c>
      <c r="E618" t="s">
        <v>2405</v>
      </c>
      <c r="F618">
        <v>3</v>
      </c>
      <c r="G618" s="7">
        <v>601.6</v>
      </c>
      <c r="H618" s="3" t="s">
        <v>2843</v>
      </c>
      <c r="I618" s="3" t="s">
        <v>3067</v>
      </c>
      <c r="J618" s="3" t="s">
        <v>3071</v>
      </c>
      <c r="K618" s="3" t="s">
        <v>3691</v>
      </c>
      <c r="L618" s="3">
        <v>7</v>
      </c>
      <c r="M618" s="10" t="s">
        <v>4275</v>
      </c>
      <c r="N618" s="3" t="s">
        <v>4281</v>
      </c>
      <c r="O618" s="7">
        <v>1804.8</v>
      </c>
      <c r="P618" s="3">
        <f t="shared" si="20"/>
        <v>1804.8000000000002</v>
      </c>
    </row>
    <row r="619" spans="1:16" x14ac:dyDescent="0.35">
      <c r="A619" t="s">
        <v>631</v>
      </c>
      <c r="B619" s="5">
        <v>45330</v>
      </c>
      <c r="C619" t="s">
        <v>1830</v>
      </c>
      <c r="D619" s="1" t="str">
        <f t="shared" si="19"/>
        <v>Tablet</v>
      </c>
      <c r="E619" t="s">
        <v>2405</v>
      </c>
      <c r="F619">
        <v>3</v>
      </c>
      <c r="G619" s="7">
        <v>184.47</v>
      </c>
      <c r="H619" s="3" t="s">
        <v>2844</v>
      </c>
      <c r="I619" s="3" t="s">
        <v>3066</v>
      </c>
      <c r="J619" s="3" t="s">
        <v>3071</v>
      </c>
      <c r="K619" s="3" t="s">
        <v>3692</v>
      </c>
      <c r="L619" s="3">
        <v>4</v>
      </c>
      <c r="N619" s="3" t="s">
        <v>4279</v>
      </c>
      <c r="O619" s="7">
        <v>553.41</v>
      </c>
      <c r="P619" s="3">
        <f t="shared" si="20"/>
        <v>553.41</v>
      </c>
    </row>
    <row r="620" spans="1:16" x14ac:dyDescent="0.35">
      <c r="A620" t="s">
        <v>632</v>
      </c>
      <c r="B620" s="5">
        <v>45538</v>
      </c>
      <c r="C620" t="s">
        <v>1831</v>
      </c>
      <c r="D620" s="1" t="str">
        <f t="shared" si="19"/>
        <v>Laptop</v>
      </c>
      <c r="E620" t="s">
        <v>2405</v>
      </c>
      <c r="F620">
        <v>1</v>
      </c>
      <c r="G620" s="7">
        <v>411.34</v>
      </c>
      <c r="H620" s="3" t="s">
        <v>2845</v>
      </c>
      <c r="I620" s="3" t="s">
        <v>3065</v>
      </c>
      <c r="J620" s="3" t="s">
        <v>3072</v>
      </c>
      <c r="K620" s="3" t="s">
        <v>3693</v>
      </c>
      <c r="L620" s="3">
        <v>5</v>
      </c>
      <c r="N620" s="3" t="s">
        <v>4278</v>
      </c>
      <c r="O620" s="7">
        <v>411.34</v>
      </c>
      <c r="P620" s="3">
        <f t="shared" si="20"/>
        <v>411.34</v>
      </c>
    </row>
    <row r="621" spans="1:16" x14ac:dyDescent="0.35">
      <c r="A621" t="s">
        <v>633</v>
      </c>
      <c r="B621" s="5">
        <v>45489</v>
      </c>
      <c r="C621" t="s">
        <v>1832</v>
      </c>
      <c r="D621" s="1" t="str">
        <f t="shared" si="19"/>
        <v>Tablet</v>
      </c>
      <c r="E621" t="s">
        <v>2408</v>
      </c>
      <c r="F621">
        <v>1</v>
      </c>
      <c r="G621" s="7">
        <v>532.89</v>
      </c>
      <c r="H621" s="3" t="s">
        <v>2783</v>
      </c>
      <c r="I621" s="3" t="s">
        <v>3068</v>
      </c>
      <c r="J621" s="3" t="s">
        <v>3074</v>
      </c>
      <c r="K621" s="3" t="s">
        <v>3694</v>
      </c>
      <c r="L621" s="3">
        <v>2</v>
      </c>
      <c r="N621" s="3" t="s">
        <v>4279</v>
      </c>
      <c r="O621" s="7">
        <v>532.89</v>
      </c>
      <c r="P621" s="3">
        <f t="shared" si="20"/>
        <v>532.89</v>
      </c>
    </row>
    <row r="622" spans="1:16" x14ac:dyDescent="0.35">
      <c r="A622" t="s">
        <v>634</v>
      </c>
      <c r="B622" s="5">
        <v>45378</v>
      </c>
      <c r="C622" t="s">
        <v>1833</v>
      </c>
      <c r="D622" s="1" t="str">
        <f t="shared" si="19"/>
        <v>Phone</v>
      </c>
      <c r="E622" t="s">
        <v>2405</v>
      </c>
      <c r="F622">
        <v>3</v>
      </c>
      <c r="G622" s="7">
        <v>136.34</v>
      </c>
      <c r="H622" s="3" t="s">
        <v>2846</v>
      </c>
      <c r="I622" s="3" t="s">
        <v>3065</v>
      </c>
      <c r="J622" s="3" t="s">
        <v>3072</v>
      </c>
      <c r="K622" s="3" t="s">
        <v>3695</v>
      </c>
      <c r="L622" s="3">
        <v>8</v>
      </c>
      <c r="M622" s="10" t="s">
        <v>4275</v>
      </c>
      <c r="N622" s="3" t="s">
        <v>4279</v>
      </c>
      <c r="O622" s="7">
        <v>409.02</v>
      </c>
      <c r="P622" s="3">
        <f t="shared" si="20"/>
        <v>409.02</v>
      </c>
    </row>
    <row r="623" spans="1:16" x14ac:dyDescent="0.35">
      <c r="A623" t="s">
        <v>635</v>
      </c>
      <c r="B623" s="5">
        <v>45221</v>
      </c>
      <c r="C623" t="s">
        <v>1834</v>
      </c>
      <c r="D623" s="1" t="str">
        <f t="shared" si="19"/>
        <v>Desk</v>
      </c>
      <c r="E623" t="s">
        <v>2404</v>
      </c>
      <c r="F623">
        <v>5</v>
      </c>
      <c r="G623" s="7">
        <v>476.01</v>
      </c>
      <c r="H623" s="3" t="s">
        <v>2482</v>
      </c>
      <c r="I623" s="3" t="s">
        <v>3067</v>
      </c>
      <c r="J623" s="3" t="s">
        <v>3073</v>
      </c>
      <c r="K623" s="3" t="s">
        <v>3696</v>
      </c>
      <c r="L623" s="3">
        <v>7</v>
      </c>
      <c r="M623" s="10" t="s">
        <v>4277</v>
      </c>
      <c r="N623" s="3" t="s">
        <v>4282</v>
      </c>
      <c r="O623" s="7">
        <v>2380.0500000000002</v>
      </c>
      <c r="P623" s="3">
        <f t="shared" si="20"/>
        <v>2380.0500000000002</v>
      </c>
    </row>
    <row r="624" spans="1:16" x14ac:dyDescent="0.35">
      <c r="A624" t="s">
        <v>636</v>
      </c>
      <c r="B624" s="5">
        <v>45598</v>
      </c>
      <c r="C624" t="s">
        <v>1835</v>
      </c>
      <c r="D624" s="1" t="str">
        <f t="shared" si="19"/>
        <v>Printer</v>
      </c>
      <c r="E624" t="s">
        <v>2409</v>
      </c>
      <c r="F624">
        <v>5</v>
      </c>
      <c r="G624" s="7">
        <v>236.38</v>
      </c>
      <c r="H624" s="3" t="s">
        <v>2445</v>
      </c>
      <c r="I624" s="3" t="s">
        <v>3067</v>
      </c>
      <c r="J624" s="3" t="s">
        <v>3072</v>
      </c>
      <c r="K624" s="3" t="s">
        <v>3697</v>
      </c>
      <c r="L624" s="3">
        <v>7</v>
      </c>
      <c r="N624" s="3" t="s">
        <v>4281</v>
      </c>
      <c r="O624" s="7">
        <v>1181.9000000000001</v>
      </c>
      <c r="P624" s="3">
        <f t="shared" si="20"/>
        <v>1181.9000000000001</v>
      </c>
    </row>
    <row r="625" spans="1:16" x14ac:dyDescent="0.35">
      <c r="A625" t="s">
        <v>637</v>
      </c>
      <c r="B625" s="5">
        <v>45093</v>
      </c>
      <c r="C625" t="s">
        <v>1836</v>
      </c>
      <c r="D625" s="1" t="str">
        <f t="shared" si="19"/>
        <v>Tablet</v>
      </c>
      <c r="E625" t="s">
        <v>2407</v>
      </c>
      <c r="F625">
        <v>3</v>
      </c>
      <c r="G625" s="7">
        <v>396</v>
      </c>
      <c r="H625" s="3" t="s">
        <v>2847</v>
      </c>
      <c r="I625" s="3" t="s">
        <v>3068</v>
      </c>
      <c r="J625" s="3" t="s">
        <v>3071</v>
      </c>
      <c r="K625" s="3" t="s">
        <v>3698</v>
      </c>
      <c r="L625" s="3">
        <v>4</v>
      </c>
      <c r="M625" s="10" t="s">
        <v>4276</v>
      </c>
      <c r="N625" s="3" t="s">
        <v>4278</v>
      </c>
      <c r="O625" s="7">
        <v>1188</v>
      </c>
      <c r="P625" s="3">
        <f t="shared" si="20"/>
        <v>1188</v>
      </c>
    </row>
    <row r="626" spans="1:16" x14ac:dyDescent="0.35">
      <c r="A626" t="s">
        <v>638</v>
      </c>
      <c r="B626" s="5">
        <v>45307</v>
      </c>
      <c r="C626" t="s">
        <v>1837</v>
      </c>
      <c r="E626" t="s">
        <v>2405</v>
      </c>
      <c r="F626">
        <v>5</v>
      </c>
      <c r="G626" s="7">
        <v>341.96</v>
      </c>
      <c r="H626" s="3" t="s">
        <v>2710</v>
      </c>
      <c r="I626" s="3" t="s">
        <v>3065</v>
      </c>
      <c r="J626" s="3" t="s">
        <v>3073</v>
      </c>
      <c r="K626" s="3" t="s">
        <v>3699</v>
      </c>
      <c r="L626" s="3">
        <v>6</v>
      </c>
      <c r="N626" s="3" t="s">
        <v>4280</v>
      </c>
      <c r="O626" s="7">
        <v>1709.8</v>
      </c>
      <c r="P626" s="3">
        <f t="shared" si="20"/>
        <v>1709.8</v>
      </c>
    </row>
    <row r="627" spans="1:16" x14ac:dyDescent="0.35">
      <c r="A627" t="s">
        <v>639</v>
      </c>
      <c r="B627" s="5">
        <v>45193</v>
      </c>
      <c r="C627" t="s">
        <v>1838</v>
      </c>
      <c r="E627" t="s">
        <v>2405</v>
      </c>
      <c r="F627">
        <v>1</v>
      </c>
      <c r="G627" s="7">
        <v>672.89</v>
      </c>
      <c r="H627" s="3" t="s">
        <v>2848</v>
      </c>
      <c r="I627" s="3" t="s">
        <v>3067</v>
      </c>
      <c r="J627" s="3" t="s">
        <v>3074</v>
      </c>
      <c r="K627" s="3" t="s">
        <v>3700</v>
      </c>
      <c r="L627" s="3">
        <v>1</v>
      </c>
      <c r="M627" s="10" t="s">
        <v>4277</v>
      </c>
      <c r="N627" s="3" t="s">
        <v>4280</v>
      </c>
      <c r="O627" s="7">
        <v>672.89</v>
      </c>
      <c r="P627" s="3">
        <f t="shared" si="20"/>
        <v>672.89</v>
      </c>
    </row>
    <row r="628" spans="1:16" x14ac:dyDescent="0.35">
      <c r="A628" t="s">
        <v>640</v>
      </c>
      <c r="B628" s="5">
        <v>45352</v>
      </c>
      <c r="C628" t="s">
        <v>1839</v>
      </c>
      <c r="E628" t="s">
        <v>2405</v>
      </c>
      <c r="F628">
        <v>2</v>
      </c>
      <c r="G628" s="7">
        <v>657.48</v>
      </c>
      <c r="H628" s="3" t="s">
        <v>2745</v>
      </c>
      <c r="I628" s="3" t="s">
        <v>3066</v>
      </c>
      <c r="J628" s="3" t="s">
        <v>3070</v>
      </c>
      <c r="K628" s="3" t="s">
        <v>3701</v>
      </c>
      <c r="L628" s="3">
        <v>5</v>
      </c>
      <c r="M628" s="10" t="s">
        <v>4275</v>
      </c>
      <c r="N628" s="3" t="s">
        <v>4279</v>
      </c>
      <c r="O628" s="7">
        <v>1314.96</v>
      </c>
      <c r="P628" s="3">
        <f t="shared" si="20"/>
        <v>1314.96</v>
      </c>
    </row>
    <row r="629" spans="1:16" x14ac:dyDescent="0.35">
      <c r="A629" t="s">
        <v>641</v>
      </c>
      <c r="B629" s="5">
        <v>45144</v>
      </c>
      <c r="C629" t="s">
        <v>1840</v>
      </c>
      <c r="E629" t="s">
        <v>2406</v>
      </c>
      <c r="F629">
        <v>3</v>
      </c>
      <c r="G629" s="7">
        <v>498.68</v>
      </c>
      <c r="H629" s="3" t="s">
        <v>2812</v>
      </c>
      <c r="I629" s="3" t="s">
        <v>3066</v>
      </c>
      <c r="J629" s="3" t="s">
        <v>3072</v>
      </c>
      <c r="K629" s="3" t="s">
        <v>3702</v>
      </c>
      <c r="L629" s="3">
        <v>4</v>
      </c>
      <c r="M629" s="10" t="s">
        <v>4276</v>
      </c>
      <c r="N629" s="3" t="s">
        <v>4280</v>
      </c>
      <c r="O629" s="7">
        <v>1496.04</v>
      </c>
      <c r="P629" s="3">
        <f t="shared" si="20"/>
        <v>1496.04</v>
      </c>
    </row>
    <row r="630" spans="1:16" x14ac:dyDescent="0.35">
      <c r="A630" t="s">
        <v>642</v>
      </c>
      <c r="B630" s="5">
        <v>45011</v>
      </c>
      <c r="C630" t="s">
        <v>1841</v>
      </c>
      <c r="E630" t="s">
        <v>2407</v>
      </c>
      <c r="F630">
        <v>5</v>
      </c>
      <c r="G630" s="7">
        <v>558.63</v>
      </c>
      <c r="H630" s="3" t="s">
        <v>2849</v>
      </c>
      <c r="I630" s="3" t="s">
        <v>3069</v>
      </c>
      <c r="J630" s="3" t="s">
        <v>3074</v>
      </c>
      <c r="K630" s="3" t="s">
        <v>3703</v>
      </c>
      <c r="L630" s="3">
        <v>8</v>
      </c>
      <c r="M630" s="10" t="s">
        <v>4276</v>
      </c>
      <c r="N630" s="3" t="s">
        <v>4279</v>
      </c>
      <c r="O630" s="7">
        <v>2793.15</v>
      </c>
      <c r="P630" s="3">
        <f t="shared" si="20"/>
        <v>2793.15</v>
      </c>
    </row>
    <row r="631" spans="1:16" x14ac:dyDescent="0.35">
      <c r="A631" t="s">
        <v>643</v>
      </c>
      <c r="B631" s="5">
        <v>45114</v>
      </c>
      <c r="C631" t="s">
        <v>1842</v>
      </c>
      <c r="E631" t="s">
        <v>2404</v>
      </c>
      <c r="F631">
        <v>3</v>
      </c>
      <c r="G631" s="7">
        <v>19.73</v>
      </c>
      <c r="H631" s="3" t="s">
        <v>2850</v>
      </c>
      <c r="I631" s="3" t="s">
        <v>3066</v>
      </c>
      <c r="J631" s="3" t="s">
        <v>3074</v>
      </c>
      <c r="K631" s="3" t="s">
        <v>3704</v>
      </c>
      <c r="L631" s="3">
        <v>3</v>
      </c>
      <c r="N631" s="3" t="s">
        <v>4279</v>
      </c>
      <c r="O631" s="7">
        <v>59.19</v>
      </c>
      <c r="P631" s="3">
        <f t="shared" si="20"/>
        <v>59.19</v>
      </c>
    </row>
    <row r="632" spans="1:16" x14ac:dyDescent="0.35">
      <c r="A632" t="s">
        <v>644</v>
      </c>
      <c r="B632" s="5">
        <v>45100</v>
      </c>
      <c r="C632" t="s">
        <v>1843</v>
      </c>
      <c r="E632" t="s">
        <v>2403</v>
      </c>
      <c r="F632">
        <v>5</v>
      </c>
      <c r="G632" s="7">
        <v>248.84</v>
      </c>
      <c r="H632" s="3" t="s">
        <v>2851</v>
      </c>
      <c r="I632" s="3" t="s">
        <v>3065</v>
      </c>
      <c r="J632" s="3" t="s">
        <v>3071</v>
      </c>
      <c r="K632" s="3" t="s">
        <v>3705</v>
      </c>
      <c r="L632" s="3">
        <v>10</v>
      </c>
      <c r="N632" s="3" t="s">
        <v>4278</v>
      </c>
      <c r="O632" s="7">
        <v>1244.2</v>
      </c>
      <c r="P632" s="3">
        <f t="shared" si="20"/>
        <v>1244.2</v>
      </c>
    </row>
    <row r="633" spans="1:16" x14ac:dyDescent="0.35">
      <c r="A633" t="s">
        <v>645</v>
      </c>
      <c r="B633" s="5">
        <v>45535</v>
      </c>
      <c r="C633" t="s">
        <v>1844</v>
      </c>
      <c r="E633" t="s">
        <v>2406</v>
      </c>
      <c r="F633">
        <v>3</v>
      </c>
      <c r="G633" s="7">
        <v>46.11</v>
      </c>
      <c r="H633" s="3" t="s">
        <v>2645</v>
      </c>
      <c r="I633" s="3" t="s">
        <v>3068</v>
      </c>
      <c r="J633" s="3" t="s">
        <v>3072</v>
      </c>
      <c r="K633" s="3" t="s">
        <v>3706</v>
      </c>
      <c r="L633" s="3">
        <v>5</v>
      </c>
      <c r="M633" s="10" t="s">
        <v>4277</v>
      </c>
      <c r="N633" s="3" t="s">
        <v>4279</v>
      </c>
      <c r="O633" s="7">
        <v>138.33000000000001</v>
      </c>
      <c r="P633" s="3">
        <f t="shared" si="20"/>
        <v>138.32999999999998</v>
      </c>
    </row>
    <row r="634" spans="1:16" x14ac:dyDescent="0.35">
      <c r="A634" t="s">
        <v>646</v>
      </c>
      <c r="B634" s="5">
        <v>45048</v>
      </c>
      <c r="C634" t="s">
        <v>1845</v>
      </c>
      <c r="E634" t="s">
        <v>2408</v>
      </c>
      <c r="F634">
        <v>5</v>
      </c>
      <c r="G634" s="7">
        <v>678.16</v>
      </c>
      <c r="H634" s="3" t="s">
        <v>2629</v>
      </c>
      <c r="I634" s="3" t="s">
        <v>3068</v>
      </c>
      <c r="J634" s="3" t="s">
        <v>3073</v>
      </c>
      <c r="K634" s="3" t="s">
        <v>3707</v>
      </c>
      <c r="L634" s="3">
        <v>7</v>
      </c>
      <c r="M634" s="10" t="s">
        <v>4277</v>
      </c>
      <c r="N634" s="3" t="s">
        <v>4281</v>
      </c>
      <c r="O634" s="7">
        <v>3390.8</v>
      </c>
      <c r="P634" s="3">
        <f t="shared" si="20"/>
        <v>3390.7999999999997</v>
      </c>
    </row>
    <row r="635" spans="1:16" x14ac:dyDescent="0.35">
      <c r="A635" t="s">
        <v>647</v>
      </c>
      <c r="B635" s="5">
        <v>45392</v>
      </c>
      <c r="C635" t="s">
        <v>1846</v>
      </c>
      <c r="E635" t="s">
        <v>2408</v>
      </c>
      <c r="F635">
        <v>5</v>
      </c>
      <c r="G635" s="7">
        <v>601.72</v>
      </c>
      <c r="H635" s="3" t="s">
        <v>2728</v>
      </c>
      <c r="I635" s="3" t="s">
        <v>3068</v>
      </c>
      <c r="J635" s="3" t="s">
        <v>3071</v>
      </c>
      <c r="K635" s="3" t="s">
        <v>3708</v>
      </c>
      <c r="L635" s="3">
        <v>5</v>
      </c>
      <c r="M635" s="10" t="s">
        <v>4277</v>
      </c>
      <c r="N635" s="3" t="s">
        <v>4278</v>
      </c>
      <c r="O635" s="7">
        <v>3008.6</v>
      </c>
      <c r="P635" s="3">
        <f t="shared" si="20"/>
        <v>3008.6000000000004</v>
      </c>
    </row>
    <row r="636" spans="1:16" x14ac:dyDescent="0.35">
      <c r="A636" t="s">
        <v>648</v>
      </c>
      <c r="B636" s="5">
        <v>45407</v>
      </c>
      <c r="C636" t="s">
        <v>1847</v>
      </c>
      <c r="E636" t="s">
        <v>2407</v>
      </c>
      <c r="F636">
        <v>2</v>
      </c>
      <c r="G636" s="7">
        <v>259.32</v>
      </c>
      <c r="H636" s="3" t="s">
        <v>2852</v>
      </c>
      <c r="I636" s="3" t="s">
        <v>3068</v>
      </c>
      <c r="J636" s="3" t="s">
        <v>3073</v>
      </c>
      <c r="K636" s="3" t="s">
        <v>3709</v>
      </c>
      <c r="L636" s="3">
        <v>2</v>
      </c>
      <c r="M636" s="10" t="s">
        <v>4277</v>
      </c>
      <c r="N636" s="3" t="s">
        <v>4279</v>
      </c>
      <c r="O636" s="7">
        <v>518.64</v>
      </c>
      <c r="P636" s="3">
        <f t="shared" si="20"/>
        <v>518.64</v>
      </c>
    </row>
    <row r="637" spans="1:16" x14ac:dyDescent="0.35">
      <c r="A637" t="s">
        <v>649</v>
      </c>
      <c r="B637" s="5">
        <v>45273</v>
      </c>
      <c r="C637" t="s">
        <v>1848</v>
      </c>
      <c r="E637" t="s">
        <v>2406</v>
      </c>
      <c r="F637">
        <v>3</v>
      </c>
      <c r="G637" s="7">
        <v>63.68</v>
      </c>
      <c r="H637" s="3" t="s">
        <v>2458</v>
      </c>
      <c r="I637" s="3" t="s">
        <v>3069</v>
      </c>
      <c r="J637" s="3" t="s">
        <v>3072</v>
      </c>
      <c r="K637" s="3" t="s">
        <v>3710</v>
      </c>
      <c r="L637" s="3">
        <v>6</v>
      </c>
      <c r="N637" s="3" t="s">
        <v>4281</v>
      </c>
      <c r="O637" s="7">
        <v>191.04</v>
      </c>
      <c r="P637" s="3">
        <f t="shared" si="20"/>
        <v>191.04</v>
      </c>
    </row>
    <row r="638" spans="1:16" x14ac:dyDescent="0.35">
      <c r="A638" t="s">
        <v>650</v>
      </c>
      <c r="B638" s="5">
        <v>45204</v>
      </c>
      <c r="C638" t="s">
        <v>1849</v>
      </c>
      <c r="E638" t="s">
        <v>2408</v>
      </c>
      <c r="F638">
        <v>4</v>
      </c>
      <c r="G638" s="7">
        <v>371.07</v>
      </c>
      <c r="H638" s="3" t="s">
        <v>2564</v>
      </c>
      <c r="I638" s="3" t="s">
        <v>3069</v>
      </c>
      <c r="J638" s="3" t="s">
        <v>3071</v>
      </c>
      <c r="K638" s="3" t="s">
        <v>3711</v>
      </c>
      <c r="L638" s="3">
        <v>7</v>
      </c>
      <c r="M638" s="10" t="s">
        <v>4277</v>
      </c>
      <c r="N638" s="3" t="s">
        <v>4281</v>
      </c>
      <c r="O638" s="7">
        <v>1484.28</v>
      </c>
      <c r="P638" s="3">
        <f t="shared" si="20"/>
        <v>1484.28</v>
      </c>
    </row>
    <row r="639" spans="1:16" x14ac:dyDescent="0.35">
      <c r="A639" t="s">
        <v>651</v>
      </c>
      <c r="B639" s="5">
        <v>45564</v>
      </c>
      <c r="C639" t="s">
        <v>1850</v>
      </c>
      <c r="E639" t="s">
        <v>2406</v>
      </c>
      <c r="F639">
        <v>4</v>
      </c>
      <c r="G639" s="7">
        <v>306.35000000000002</v>
      </c>
      <c r="H639" s="3" t="s">
        <v>2853</v>
      </c>
      <c r="I639" s="3" t="s">
        <v>3068</v>
      </c>
      <c r="J639" s="3" t="s">
        <v>3070</v>
      </c>
      <c r="K639" s="3" t="s">
        <v>3712</v>
      </c>
      <c r="L639" s="3">
        <v>7</v>
      </c>
      <c r="M639" s="10" t="s">
        <v>4277</v>
      </c>
      <c r="N639" s="3" t="s">
        <v>4279</v>
      </c>
      <c r="O639" s="7">
        <v>1225.4000000000001</v>
      </c>
      <c r="P639" s="3">
        <f t="shared" si="20"/>
        <v>1225.4000000000001</v>
      </c>
    </row>
    <row r="640" spans="1:16" x14ac:dyDescent="0.35">
      <c r="A640" t="s">
        <v>652</v>
      </c>
      <c r="B640" s="5">
        <v>45214</v>
      </c>
      <c r="C640" t="s">
        <v>1851</v>
      </c>
      <c r="E640" t="s">
        <v>2405</v>
      </c>
      <c r="F640">
        <v>4</v>
      </c>
      <c r="G640" s="7">
        <v>578.27</v>
      </c>
      <c r="H640" s="3" t="s">
        <v>2854</v>
      </c>
      <c r="I640" s="3" t="s">
        <v>3066</v>
      </c>
      <c r="J640" s="3" t="s">
        <v>3073</v>
      </c>
      <c r="K640" s="3" t="s">
        <v>3713</v>
      </c>
      <c r="L640" s="3">
        <v>9</v>
      </c>
      <c r="M640" s="10" t="s">
        <v>4277</v>
      </c>
      <c r="N640" s="3" t="s">
        <v>4280</v>
      </c>
      <c r="O640" s="7">
        <v>2313.08</v>
      </c>
      <c r="P640" s="3">
        <f t="shared" si="20"/>
        <v>2313.08</v>
      </c>
    </row>
    <row r="641" spans="1:16" x14ac:dyDescent="0.35">
      <c r="A641" t="s">
        <v>653</v>
      </c>
      <c r="B641" s="5">
        <v>44946</v>
      </c>
      <c r="C641" t="s">
        <v>1852</v>
      </c>
      <c r="E641" t="s">
        <v>2406</v>
      </c>
      <c r="F641">
        <v>1</v>
      </c>
      <c r="G641" s="7">
        <v>529.19000000000005</v>
      </c>
      <c r="H641" s="3" t="s">
        <v>2772</v>
      </c>
      <c r="I641" s="3" t="s">
        <v>3069</v>
      </c>
      <c r="J641" s="3" t="s">
        <v>3071</v>
      </c>
      <c r="K641" s="3" t="s">
        <v>3714</v>
      </c>
      <c r="L641" s="3">
        <v>5</v>
      </c>
      <c r="N641" s="3" t="s">
        <v>4279</v>
      </c>
      <c r="O641" s="7">
        <v>529.19000000000005</v>
      </c>
      <c r="P641" s="3">
        <f t="shared" si="20"/>
        <v>529.19000000000005</v>
      </c>
    </row>
    <row r="642" spans="1:16" x14ac:dyDescent="0.35">
      <c r="A642" t="s">
        <v>654</v>
      </c>
      <c r="B642" s="5">
        <v>45349</v>
      </c>
      <c r="C642" t="s">
        <v>1853</v>
      </c>
      <c r="E642" t="s">
        <v>2406</v>
      </c>
      <c r="F642">
        <v>2</v>
      </c>
      <c r="G642" s="7">
        <v>587.49</v>
      </c>
      <c r="H642" s="3" t="s">
        <v>2507</v>
      </c>
      <c r="I642" s="3" t="s">
        <v>3068</v>
      </c>
      <c r="J642" s="3" t="s">
        <v>3072</v>
      </c>
      <c r="K642" s="3" t="s">
        <v>3715</v>
      </c>
      <c r="L642" s="3">
        <v>6</v>
      </c>
      <c r="M642" s="10" t="s">
        <v>4275</v>
      </c>
      <c r="N642" s="3" t="s">
        <v>4279</v>
      </c>
      <c r="O642" s="7">
        <v>1174.98</v>
      </c>
      <c r="P642" s="3">
        <f t="shared" si="20"/>
        <v>1174.98</v>
      </c>
    </row>
    <row r="643" spans="1:16" x14ac:dyDescent="0.35">
      <c r="A643" t="s">
        <v>655</v>
      </c>
      <c r="B643" s="5">
        <v>45473</v>
      </c>
      <c r="C643" t="s">
        <v>1854</v>
      </c>
      <c r="E643" t="s">
        <v>2407</v>
      </c>
      <c r="F643">
        <v>4</v>
      </c>
      <c r="G643" s="7">
        <v>567.57000000000005</v>
      </c>
      <c r="H643" s="3" t="s">
        <v>2627</v>
      </c>
      <c r="I643" s="3" t="s">
        <v>3065</v>
      </c>
      <c r="J643" s="3" t="s">
        <v>3074</v>
      </c>
      <c r="K643" s="3" t="s">
        <v>3716</v>
      </c>
      <c r="L643" s="3">
        <v>9</v>
      </c>
      <c r="M643" s="10" t="s">
        <v>4277</v>
      </c>
      <c r="N643" s="3" t="s">
        <v>4282</v>
      </c>
      <c r="O643" s="7">
        <v>2270.2800000000002</v>
      </c>
      <c r="P643" s="3">
        <f t="shared" ref="P643:P706" si="21">G643*F643</f>
        <v>2270.2800000000002</v>
      </c>
    </row>
    <row r="644" spans="1:16" x14ac:dyDescent="0.35">
      <c r="A644" t="s">
        <v>656</v>
      </c>
      <c r="B644" s="5">
        <v>45411</v>
      </c>
      <c r="C644" t="s">
        <v>1855</v>
      </c>
      <c r="E644" t="s">
        <v>2406</v>
      </c>
      <c r="F644">
        <v>5</v>
      </c>
      <c r="G644" s="7">
        <v>85.22</v>
      </c>
      <c r="H644" s="3" t="s">
        <v>2855</v>
      </c>
      <c r="I644" s="3" t="s">
        <v>3067</v>
      </c>
      <c r="J644" s="3" t="s">
        <v>3071</v>
      </c>
      <c r="K644" s="3" t="s">
        <v>3717</v>
      </c>
      <c r="L644" s="3">
        <v>7</v>
      </c>
      <c r="M644" s="10" t="s">
        <v>4276</v>
      </c>
      <c r="N644" s="3" t="s">
        <v>4280</v>
      </c>
      <c r="O644" s="7">
        <v>426.1</v>
      </c>
      <c r="P644" s="3">
        <f t="shared" si="21"/>
        <v>426.1</v>
      </c>
    </row>
    <row r="645" spans="1:16" x14ac:dyDescent="0.35">
      <c r="A645" t="s">
        <v>657</v>
      </c>
      <c r="B645" s="5">
        <v>45530</v>
      </c>
      <c r="C645" t="s">
        <v>1856</v>
      </c>
      <c r="E645" t="s">
        <v>2408</v>
      </c>
      <c r="F645">
        <v>1</v>
      </c>
      <c r="G645" s="7">
        <v>438.37</v>
      </c>
      <c r="H645" s="3" t="s">
        <v>2507</v>
      </c>
      <c r="I645" s="3" t="s">
        <v>3069</v>
      </c>
      <c r="J645" s="3" t="s">
        <v>3071</v>
      </c>
      <c r="K645" s="3" t="s">
        <v>3718</v>
      </c>
      <c r="L645" s="3">
        <v>4</v>
      </c>
      <c r="M645" s="10" t="s">
        <v>4275</v>
      </c>
      <c r="N645" s="3" t="s">
        <v>4279</v>
      </c>
      <c r="O645" s="7">
        <v>438.37</v>
      </c>
      <c r="P645" s="3">
        <f t="shared" si="21"/>
        <v>438.37</v>
      </c>
    </row>
    <row r="646" spans="1:16" x14ac:dyDescent="0.35">
      <c r="A646" t="s">
        <v>658</v>
      </c>
      <c r="B646" s="5">
        <v>45245</v>
      </c>
      <c r="C646" t="s">
        <v>1857</v>
      </c>
      <c r="E646" t="s">
        <v>2406</v>
      </c>
      <c r="F646">
        <v>2</v>
      </c>
      <c r="G646" s="7">
        <v>366.23</v>
      </c>
      <c r="H646" s="3" t="s">
        <v>2856</v>
      </c>
      <c r="I646" s="3" t="s">
        <v>3069</v>
      </c>
      <c r="J646" s="3" t="s">
        <v>3070</v>
      </c>
      <c r="K646" s="3" t="s">
        <v>3719</v>
      </c>
      <c r="L646" s="3">
        <v>2</v>
      </c>
      <c r="M646" s="10" t="s">
        <v>4277</v>
      </c>
      <c r="N646" s="3" t="s">
        <v>4280</v>
      </c>
      <c r="O646" s="7">
        <v>732.46</v>
      </c>
      <c r="P646" s="3">
        <f t="shared" si="21"/>
        <v>732.46</v>
      </c>
    </row>
    <row r="647" spans="1:16" x14ac:dyDescent="0.35">
      <c r="A647" t="s">
        <v>659</v>
      </c>
      <c r="B647" s="5">
        <v>44928</v>
      </c>
      <c r="C647" t="s">
        <v>1858</v>
      </c>
      <c r="E647" t="s">
        <v>2408</v>
      </c>
      <c r="F647">
        <v>2</v>
      </c>
      <c r="G647" s="7">
        <v>150.05000000000001</v>
      </c>
      <c r="H647" s="3" t="s">
        <v>2525</v>
      </c>
      <c r="I647" s="3" t="s">
        <v>3067</v>
      </c>
      <c r="J647" s="3" t="s">
        <v>3071</v>
      </c>
      <c r="K647" s="3" t="s">
        <v>3720</v>
      </c>
      <c r="L647" s="3">
        <v>4</v>
      </c>
      <c r="M647" s="10" t="s">
        <v>4275</v>
      </c>
      <c r="N647" s="3" t="s">
        <v>4281</v>
      </c>
      <c r="O647" s="7">
        <v>300.10000000000002</v>
      </c>
      <c r="P647" s="3">
        <f t="shared" si="21"/>
        <v>300.10000000000002</v>
      </c>
    </row>
    <row r="648" spans="1:16" x14ac:dyDescent="0.35">
      <c r="A648" t="s">
        <v>660</v>
      </c>
      <c r="B648" s="5">
        <v>45226</v>
      </c>
      <c r="C648" t="s">
        <v>1859</v>
      </c>
      <c r="E648" t="s">
        <v>2406</v>
      </c>
      <c r="F648">
        <v>4</v>
      </c>
      <c r="G648" s="7">
        <v>498.51</v>
      </c>
      <c r="H648" s="3" t="s">
        <v>2857</v>
      </c>
      <c r="I648" s="3" t="s">
        <v>3065</v>
      </c>
      <c r="J648" s="3" t="s">
        <v>3070</v>
      </c>
      <c r="K648" s="3" t="s">
        <v>3721</v>
      </c>
      <c r="L648" s="3">
        <v>4</v>
      </c>
      <c r="M648" s="10" t="s">
        <v>4275</v>
      </c>
      <c r="N648" s="3" t="s">
        <v>4282</v>
      </c>
      <c r="O648" s="7">
        <v>1994.04</v>
      </c>
      <c r="P648" s="3">
        <f t="shared" si="21"/>
        <v>1994.04</v>
      </c>
    </row>
    <row r="649" spans="1:16" x14ac:dyDescent="0.35">
      <c r="A649" t="s">
        <v>661</v>
      </c>
      <c r="B649" s="5">
        <v>45771</v>
      </c>
      <c r="C649" t="s">
        <v>1860</v>
      </c>
      <c r="E649" t="s">
        <v>2409</v>
      </c>
      <c r="F649">
        <v>3</v>
      </c>
      <c r="G649" s="7">
        <v>339.39</v>
      </c>
      <c r="H649" s="3" t="s">
        <v>2558</v>
      </c>
      <c r="I649" s="3" t="s">
        <v>3069</v>
      </c>
      <c r="J649" s="3" t="s">
        <v>3072</v>
      </c>
      <c r="K649" s="3" t="s">
        <v>3722</v>
      </c>
      <c r="L649" s="3">
        <v>7</v>
      </c>
      <c r="M649" s="10" t="s">
        <v>4276</v>
      </c>
      <c r="N649" s="3" t="s">
        <v>4282</v>
      </c>
      <c r="O649" s="7">
        <v>1018.17</v>
      </c>
      <c r="P649" s="3">
        <f t="shared" si="21"/>
        <v>1018.17</v>
      </c>
    </row>
    <row r="650" spans="1:16" x14ac:dyDescent="0.35">
      <c r="A650" t="s">
        <v>662</v>
      </c>
      <c r="B650" s="5">
        <v>45675</v>
      </c>
      <c r="C650" t="s">
        <v>1861</v>
      </c>
      <c r="E650" t="s">
        <v>2403</v>
      </c>
      <c r="F650">
        <v>2</v>
      </c>
      <c r="G650" s="7">
        <v>575.83000000000004</v>
      </c>
      <c r="H650" s="3" t="s">
        <v>2858</v>
      </c>
      <c r="I650" s="3" t="s">
        <v>3066</v>
      </c>
      <c r="J650" s="3" t="s">
        <v>3073</v>
      </c>
      <c r="K650" s="3" t="s">
        <v>3723</v>
      </c>
      <c r="L650" s="3">
        <v>3</v>
      </c>
      <c r="M650" s="10" t="s">
        <v>4277</v>
      </c>
      <c r="N650" s="3" t="s">
        <v>4279</v>
      </c>
      <c r="O650" s="7">
        <v>1151.6600000000001</v>
      </c>
      <c r="P650" s="3">
        <f t="shared" si="21"/>
        <v>1151.6600000000001</v>
      </c>
    </row>
    <row r="651" spans="1:16" x14ac:dyDescent="0.35">
      <c r="A651" t="s">
        <v>663</v>
      </c>
      <c r="B651" s="5">
        <v>45283</v>
      </c>
      <c r="C651" t="s">
        <v>1862</v>
      </c>
      <c r="E651" t="s">
        <v>2403</v>
      </c>
      <c r="F651">
        <v>2</v>
      </c>
      <c r="G651" s="7">
        <v>642.98</v>
      </c>
      <c r="H651" s="3" t="s">
        <v>2632</v>
      </c>
      <c r="I651" s="3" t="s">
        <v>3065</v>
      </c>
      <c r="J651" s="3" t="s">
        <v>3072</v>
      </c>
      <c r="K651" s="3" t="s">
        <v>3724</v>
      </c>
      <c r="L651" s="3">
        <v>7</v>
      </c>
      <c r="M651" s="10" t="s">
        <v>4276</v>
      </c>
      <c r="N651" s="3" t="s">
        <v>4280</v>
      </c>
      <c r="O651" s="7">
        <v>1285.96</v>
      </c>
      <c r="P651" s="3">
        <f t="shared" si="21"/>
        <v>1285.96</v>
      </c>
    </row>
    <row r="652" spans="1:16" x14ac:dyDescent="0.35">
      <c r="A652" t="s">
        <v>664</v>
      </c>
      <c r="B652" s="5">
        <v>45064</v>
      </c>
      <c r="C652" t="s">
        <v>1863</v>
      </c>
      <c r="E652" t="s">
        <v>2409</v>
      </c>
      <c r="F652">
        <v>2</v>
      </c>
      <c r="G652" s="7">
        <v>372.23</v>
      </c>
      <c r="H652" s="3" t="s">
        <v>2859</v>
      </c>
      <c r="I652" s="3" t="s">
        <v>3068</v>
      </c>
      <c r="J652" s="3" t="s">
        <v>3073</v>
      </c>
      <c r="K652" s="3" t="s">
        <v>3725</v>
      </c>
      <c r="L652" s="3">
        <v>7</v>
      </c>
      <c r="M652" s="10" t="s">
        <v>4275</v>
      </c>
      <c r="N652" s="3" t="s">
        <v>4280</v>
      </c>
      <c r="O652" s="7">
        <v>744.46</v>
      </c>
      <c r="P652" s="3">
        <f t="shared" si="21"/>
        <v>744.46</v>
      </c>
    </row>
    <row r="653" spans="1:16" x14ac:dyDescent="0.35">
      <c r="A653" t="s">
        <v>665</v>
      </c>
      <c r="B653" s="5">
        <v>45608</v>
      </c>
      <c r="C653" t="s">
        <v>1864</v>
      </c>
      <c r="E653" t="s">
        <v>2406</v>
      </c>
      <c r="F653">
        <v>3</v>
      </c>
      <c r="G653" s="7">
        <v>646.34</v>
      </c>
      <c r="H653" s="3" t="s">
        <v>2584</v>
      </c>
      <c r="I653" s="3" t="s">
        <v>3065</v>
      </c>
      <c r="J653" s="3" t="s">
        <v>3074</v>
      </c>
      <c r="K653" s="3" t="s">
        <v>3726</v>
      </c>
      <c r="L653" s="3">
        <v>5</v>
      </c>
      <c r="N653" s="3" t="s">
        <v>4282</v>
      </c>
      <c r="O653" s="7">
        <v>1939.02</v>
      </c>
      <c r="P653" s="3">
        <f t="shared" si="21"/>
        <v>1939.02</v>
      </c>
    </row>
    <row r="654" spans="1:16" x14ac:dyDescent="0.35">
      <c r="A654" t="s">
        <v>666</v>
      </c>
      <c r="B654" s="5">
        <v>45448</v>
      </c>
      <c r="C654" t="s">
        <v>1865</v>
      </c>
      <c r="E654" t="s">
        <v>2406</v>
      </c>
      <c r="F654">
        <v>5</v>
      </c>
      <c r="G654" s="7">
        <v>341.84</v>
      </c>
      <c r="H654" s="3" t="s">
        <v>2860</v>
      </c>
      <c r="I654" s="3" t="s">
        <v>3066</v>
      </c>
      <c r="J654" s="3" t="s">
        <v>3070</v>
      </c>
      <c r="K654" s="3" t="s">
        <v>3727</v>
      </c>
      <c r="L654" s="3">
        <v>8</v>
      </c>
      <c r="M654" s="10" t="s">
        <v>4276</v>
      </c>
      <c r="N654" s="3" t="s">
        <v>4278</v>
      </c>
      <c r="O654" s="7">
        <v>1709.2</v>
      </c>
      <c r="P654" s="3">
        <f t="shared" si="21"/>
        <v>1709.1999999999998</v>
      </c>
    </row>
    <row r="655" spans="1:16" x14ac:dyDescent="0.35">
      <c r="A655" t="s">
        <v>667</v>
      </c>
      <c r="B655" s="5">
        <v>45347</v>
      </c>
      <c r="C655" t="s">
        <v>1866</v>
      </c>
      <c r="E655" t="s">
        <v>2407</v>
      </c>
      <c r="F655">
        <v>3</v>
      </c>
      <c r="G655" s="7">
        <v>690.3</v>
      </c>
      <c r="H655" s="3" t="s">
        <v>2710</v>
      </c>
      <c r="I655" s="3" t="s">
        <v>3067</v>
      </c>
      <c r="J655" s="3" t="s">
        <v>3070</v>
      </c>
      <c r="K655" s="3" t="s">
        <v>3728</v>
      </c>
      <c r="L655" s="3">
        <v>6</v>
      </c>
      <c r="M655" s="10" t="s">
        <v>4277</v>
      </c>
      <c r="N655" s="3" t="s">
        <v>4282</v>
      </c>
      <c r="O655" s="7">
        <v>2070.9</v>
      </c>
      <c r="P655" s="3">
        <f t="shared" si="21"/>
        <v>2070.8999999999996</v>
      </c>
    </row>
    <row r="656" spans="1:16" x14ac:dyDescent="0.35">
      <c r="A656" t="s">
        <v>668</v>
      </c>
      <c r="B656" s="5">
        <v>45089</v>
      </c>
      <c r="C656" t="s">
        <v>1867</v>
      </c>
      <c r="E656" t="s">
        <v>2405</v>
      </c>
      <c r="F656">
        <v>3</v>
      </c>
      <c r="G656" s="7">
        <v>382.37</v>
      </c>
      <c r="H656" s="3" t="s">
        <v>2861</v>
      </c>
      <c r="I656" s="3" t="s">
        <v>3065</v>
      </c>
      <c r="J656" s="3" t="s">
        <v>3072</v>
      </c>
      <c r="K656" s="3" t="s">
        <v>3729</v>
      </c>
      <c r="L656" s="3">
        <v>8</v>
      </c>
      <c r="N656" s="3" t="s">
        <v>4278</v>
      </c>
      <c r="O656" s="7">
        <v>1147.1099999999999</v>
      </c>
      <c r="P656" s="3">
        <f t="shared" si="21"/>
        <v>1147.1100000000001</v>
      </c>
    </row>
    <row r="657" spans="1:16" x14ac:dyDescent="0.35">
      <c r="A657" t="s">
        <v>669</v>
      </c>
      <c r="B657" s="5">
        <v>44999</v>
      </c>
      <c r="C657" t="s">
        <v>1868</v>
      </c>
      <c r="E657" t="s">
        <v>2406</v>
      </c>
      <c r="F657">
        <v>2</v>
      </c>
      <c r="G657" s="7">
        <v>132.6</v>
      </c>
      <c r="H657" s="3" t="s">
        <v>2758</v>
      </c>
      <c r="I657" s="3" t="s">
        <v>3065</v>
      </c>
      <c r="J657" s="3" t="s">
        <v>3071</v>
      </c>
      <c r="K657" s="3" t="s">
        <v>3730</v>
      </c>
      <c r="L657" s="3">
        <v>4</v>
      </c>
      <c r="M657" s="10" t="s">
        <v>4277</v>
      </c>
      <c r="N657" s="3" t="s">
        <v>4280</v>
      </c>
      <c r="O657" s="7">
        <v>265.2</v>
      </c>
      <c r="P657" s="3">
        <f t="shared" si="21"/>
        <v>265.2</v>
      </c>
    </row>
    <row r="658" spans="1:16" x14ac:dyDescent="0.35">
      <c r="A658" t="s">
        <v>670</v>
      </c>
      <c r="B658" s="5">
        <v>45309</v>
      </c>
      <c r="C658" t="s">
        <v>1869</v>
      </c>
      <c r="E658" t="s">
        <v>2403</v>
      </c>
      <c r="F658">
        <v>2</v>
      </c>
      <c r="G658" s="7">
        <v>189.06</v>
      </c>
      <c r="H658" s="3" t="s">
        <v>2862</v>
      </c>
      <c r="I658" s="3" t="s">
        <v>3068</v>
      </c>
      <c r="J658" s="3" t="s">
        <v>3070</v>
      </c>
      <c r="K658" s="3" t="s">
        <v>3731</v>
      </c>
      <c r="L658" s="3">
        <v>7</v>
      </c>
      <c r="M658" s="10" t="s">
        <v>4275</v>
      </c>
      <c r="N658" s="3" t="s">
        <v>4281</v>
      </c>
      <c r="O658" s="7">
        <v>378.12</v>
      </c>
      <c r="P658" s="3">
        <f t="shared" si="21"/>
        <v>378.12</v>
      </c>
    </row>
    <row r="659" spans="1:16" x14ac:dyDescent="0.35">
      <c r="A659" t="s">
        <v>671</v>
      </c>
      <c r="B659" s="5">
        <v>45284</v>
      </c>
      <c r="C659" t="s">
        <v>1870</v>
      </c>
      <c r="E659" t="s">
        <v>2405</v>
      </c>
      <c r="F659">
        <v>4</v>
      </c>
      <c r="G659" s="7">
        <v>87.79</v>
      </c>
      <c r="H659" s="3" t="s">
        <v>2685</v>
      </c>
      <c r="I659" s="3" t="s">
        <v>3069</v>
      </c>
      <c r="J659" s="3" t="s">
        <v>3071</v>
      </c>
      <c r="K659" s="3" t="s">
        <v>3732</v>
      </c>
      <c r="L659" s="3">
        <v>6</v>
      </c>
      <c r="M659" s="10" t="s">
        <v>4276</v>
      </c>
      <c r="N659" s="3" t="s">
        <v>4278</v>
      </c>
      <c r="O659" s="7">
        <v>351.16</v>
      </c>
      <c r="P659" s="3">
        <f t="shared" si="21"/>
        <v>351.16</v>
      </c>
    </row>
    <row r="660" spans="1:16" x14ac:dyDescent="0.35">
      <c r="A660" t="s">
        <v>672</v>
      </c>
      <c r="B660" s="5">
        <v>45765</v>
      </c>
      <c r="C660" t="s">
        <v>1871</v>
      </c>
      <c r="E660" t="s">
        <v>2407</v>
      </c>
      <c r="F660">
        <v>2</v>
      </c>
      <c r="G660" s="7">
        <v>46.36</v>
      </c>
      <c r="H660" s="3" t="s">
        <v>2657</v>
      </c>
      <c r="I660" s="3" t="s">
        <v>3068</v>
      </c>
      <c r="J660" s="3" t="s">
        <v>3072</v>
      </c>
      <c r="K660" s="3" t="s">
        <v>3733</v>
      </c>
      <c r="L660" s="3">
        <v>4</v>
      </c>
      <c r="M660" s="10" t="s">
        <v>4275</v>
      </c>
      <c r="N660" s="3" t="s">
        <v>4282</v>
      </c>
      <c r="O660" s="7">
        <v>92.72</v>
      </c>
      <c r="P660" s="3">
        <f t="shared" si="21"/>
        <v>92.72</v>
      </c>
    </row>
    <row r="661" spans="1:16" x14ac:dyDescent="0.35">
      <c r="A661" t="s">
        <v>673</v>
      </c>
      <c r="B661" s="5">
        <v>45591</v>
      </c>
      <c r="C661" t="s">
        <v>1872</v>
      </c>
      <c r="E661" t="s">
        <v>2404</v>
      </c>
      <c r="F661">
        <v>2</v>
      </c>
      <c r="G661" s="7">
        <v>642.04</v>
      </c>
      <c r="H661" s="3" t="s">
        <v>2813</v>
      </c>
      <c r="I661" s="3" t="s">
        <v>3068</v>
      </c>
      <c r="J661" s="3" t="s">
        <v>3073</v>
      </c>
      <c r="K661" s="3" t="s">
        <v>3734</v>
      </c>
      <c r="L661" s="3">
        <v>4</v>
      </c>
      <c r="M661" s="10" t="s">
        <v>4277</v>
      </c>
      <c r="N661" s="3" t="s">
        <v>4280</v>
      </c>
      <c r="O661" s="7">
        <v>1284.08</v>
      </c>
      <c r="P661" s="3">
        <f t="shared" si="21"/>
        <v>1284.08</v>
      </c>
    </row>
    <row r="662" spans="1:16" x14ac:dyDescent="0.35">
      <c r="A662" t="s">
        <v>674</v>
      </c>
      <c r="B662" s="5">
        <v>45584</v>
      </c>
      <c r="C662" t="s">
        <v>1873</v>
      </c>
      <c r="E662" t="s">
        <v>2406</v>
      </c>
      <c r="F662">
        <v>2</v>
      </c>
      <c r="G662" s="7">
        <v>651.57000000000005</v>
      </c>
      <c r="H662" s="3" t="s">
        <v>2543</v>
      </c>
      <c r="I662" s="3" t="s">
        <v>3065</v>
      </c>
      <c r="J662" s="3" t="s">
        <v>3070</v>
      </c>
      <c r="K662" s="3" t="s">
        <v>3735</v>
      </c>
      <c r="L662" s="3">
        <v>7</v>
      </c>
      <c r="M662" s="10" t="s">
        <v>4277</v>
      </c>
      <c r="N662" s="3" t="s">
        <v>4281</v>
      </c>
      <c r="O662" s="7">
        <v>1303.1400000000001</v>
      </c>
      <c r="P662" s="3">
        <f t="shared" si="21"/>
        <v>1303.1400000000001</v>
      </c>
    </row>
    <row r="663" spans="1:16" x14ac:dyDescent="0.35">
      <c r="A663" t="s">
        <v>675</v>
      </c>
      <c r="B663" s="5">
        <v>45716</v>
      </c>
      <c r="C663" t="s">
        <v>1874</v>
      </c>
      <c r="E663" t="s">
        <v>2405</v>
      </c>
      <c r="F663">
        <v>3</v>
      </c>
      <c r="G663" s="7">
        <v>424.89</v>
      </c>
      <c r="H663" s="3" t="s">
        <v>2863</v>
      </c>
      <c r="I663" s="3" t="s">
        <v>3065</v>
      </c>
      <c r="J663" s="3" t="s">
        <v>3071</v>
      </c>
      <c r="K663" s="3" t="s">
        <v>3736</v>
      </c>
      <c r="L663" s="3">
        <v>6</v>
      </c>
      <c r="M663" s="10" t="s">
        <v>4276</v>
      </c>
      <c r="N663" s="3" t="s">
        <v>4282</v>
      </c>
      <c r="O663" s="7">
        <v>1274.67</v>
      </c>
      <c r="P663" s="3">
        <f t="shared" si="21"/>
        <v>1274.67</v>
      </c>
    </row>
    <row r="664" spans="1:16" x14ac:dyDescent="0.35">
      <c r="A664" t="s">
        <v>676</v>
      </c>
      <c r="B664" s="5">
        <v>44954</v>
      </c>
      <c r="C664" t="s">
        <v>1875</v>
      </c>
      <c r="E664" t="s">
        <v>2408</v>
      </c>
      <c r="F664">
        <v>3</v>
      </c>
      <c r="G664" s="7">
        <v>438.89</v>
      </c>
      <c r="H664" s="3" t="s">
        <v>2864</v>
      </c>
      <c r="I664" s="3" t="s">
        <v>3069</v>
      </c>
      <c r="J664" s="3" t="s">
        <v>3072</v>
      </c>
      <c r="K664" s="3" t="s">
        <v>3737</v>
      </c>
      <c r="L664" s="3">
        <v>3</v>
      </c>
      <c r="N664" s="3" t="s">
        <v>4281</v>
      </c>
      <c r="O664" s="7">
        <v>1316.67</v>
      </c>
      <c r="P664" s="3">
        <f t="shared" si="21"/>
        <v>1316.67</v>
      </c>
    </row>
    <row r="665" spans="1:16" x14ac:dyDescent="0.35">
      <c r="A665" t="s">
        <v>677</v>
      </c>
      <c r="B665" s="5">
        <v>45397</v>
      </c>
      <c r="C665" t="s">
        <v>1876</v>
      </c>
      <c r="E665" t="s">
        <v>2403</v>
      </c>
      <c r="F665">
        <v>1</v>
      </c>
      <c r="G665" s="7">
        <v>72.599999999999994</v>
      </c>
      <c r="H665" s="3" t="s">
        <v>2800</v>
      </c>
      <c r="I665" s="3" t="s">
        <v>3065</v>
      </c>
      <c r="J665" s="3" t="s">
        <v>3071</v>
      </c>
      <c r="K665" s="3" t="s">
        <v>3738</v>
      </c>
      <c r="L665" s="3">
        <v>6</v>
      </c>
      <c r="M665" s="10" t="s">
        <v>4276</v>
      </c>
      <c r="N665" s="3" t="s">
        <v>4278</v>
      </c>
      <c r="O665" s="7">
        <v>72.599999999999994</v>
      </c>
      <c r="P665" s="3">
        <f t="shared" si="21"/>
        <v>72.599999999999994</v>
      </c>
    </row>
    <row r="666" spans="1:16" x14ac:dyDescent="0.35">
      <c r="A666" t="s">
        <v>678</v>
      </c>
      <c r="B666" s="5">
        <v>45645</v>
      </c>
      <c r="C666" t="s">
        <v>1450</v>
      </c>
      <c r="E666" t="s">
        <v>2408</v>
      </c>
      <c r="F666">
        <v>4</v>
      </c>
      <c r="G666" s="7">
        <v>194.75</v>
      </c>
      <c r="H666" s="3" t="s">
        <v>2865</v>
      </c>
      <c r="I666" s="3" t="s">
        <v>3069</v>
      </c>
      <c r="J666" s="3" t="s">
        <v>3070</v>
      </c>
      <c r="K666" s="3" t="s">
        <v>3739</v>
      </c>
      <c r="L666" s="3">
        <v>5</v>
      </c>
      <c r="N666" s="3" t="s">
        <v>4281</v>
      </c>
      <c r="O666" s="7">
        <v>779</v>
      </c>
      <c r="P666" s="3">
        <f t="shared" si="21"/>
        <v>779</v>
      </c>
    </row>
    <row r="667" spans="1:16" x14ac:dyDescent="0.35">
      <c r="A667" t="s">
        <v>679</v>
      </c>
      <c r="B667" s="5">
        <v>45048</v>
      </c>
      <c r="C667" t="s">
        <v>1877</v>
      </c>
      <c r="E667" t="s">
        <v>2405</v>
      </c>
      <c r="F667">
        <v>4</v>
      </c>
      <c r="G667" s="7">
        <v>231.26</v>
      </c>
      <c r="H667" s="3" t="s">
        <v>2866</v>
      </c>
      <c r="I667" s="3" t="s">
        <v>3066</v>
      </c>
      <c r="J667" s="3" t="s">
        <v>3070</v>
      </c>
      <c r="K667" s="3" t="s">
        <v>3740</v>
      </c>
      <c r="L667" s="3">
        <v>6</v>
      </c>
      <c r="M667" s="10" t="s">
        <v>4277</v>
      </c>
      <c r="N667" s="3" t="s">
        <v>4282</v>
      </c>
      <c r="O667" s="7">
        <v>925.04</v>
      </c>
      <c r="P667" s="3">
        <f t="shared" si="21"/>
        <v>925.04</v>
      </c>
    </row>
    <row r="668" spans="1:16" x14ac:dyDescent="0.35">
      <c r="A668" t="s">
        <v>680</v>
      </c>
      <c r="B668" s="5">
        <v>45535</v>
      </c>
      <c r="C668" t="s">
        <v>1878</v>
      </c>
      <c r="E668" t="s">
        <v>2403</v>
      </c>
      <c r="F668">
        <v>4</v>
      </c>
      <c r="G668" s="7">
        <v>327.12</v>
      </c>
      <c r="H668" s="3" t="s">
        <v>2840</v>
      </c>
      <c r="I668" s="3" t="s">
        <v>3067</v>
      </c>
      <c r="J668" s="3" t="s">
        <v>3071</v>
      </c>
      <c r="K668" s="3" t="s">
        <v>3741</v>
      </c>
      <c r="L668" s="3">
        <v>4</v>
      </c>
      <c r="N668" s="3" t="s">
        <v>4280</v>
      </c>
      <c r="O668" s="7">
        <v>1308.48</v>
      </c>
      <c r="P668" s="3">
        <f t="shared" si="21"/>
        <v>1308.48</v>
      </c>
    </row>
    <row r="669" spans="1:16" x14ac:dyDescent="0.35">
      <c r="A669" t="s">
        <v>681</v>
      </c>
      <c r="B669" s="5">
        <v>45049</v>
      </c>
      <c r="C669" t="s">
        <v>1879</v>
      </c>
      <c r="E669" t="s">
        <v>2408</v>
      </c>
      <c r="F669">
        <v>1</v>
      </c>
      <c r="G669" s="7">
        <v>466.42</v>
      </c>
      <c r="H669" s="3" t="s">
        <v>2590</v>
      </c>
      <c r="I669" s="3" t="s">
        <v>3068</v>
      </c>
      <c r="J669" s="3" t="s">
        <v>3074</v>
      </c>
      <c r="K669" s="3" t="s">
        <v>3742</v>
      </c>
      <c r="L669" s="3">
        <v>5</v>
      </c>
      <c r="M669" s="10" t="s">
        <v>4275</v>
      </c>
      <c r="N669" s="3" t="s">
        <v>4280</v>
      </c>
      <c r="O669" s="7">
        <v>466.42</v>
      </c>
      <c r="P669" s="3">
        <f t="shared" si="21"/>
        <v>466.42</v>
      </c>
    </row>
    <row r="670" spans="1:16" x14ac:dyDescent="0.35">
      <c r="A670" t="s">
        <v>682</v>
      </c>
      <c r="B670" s="5">
        <v>45478</v>
      </c>
      <c r="C670" t="s">
        <v>1880</v>
      </c>
      <c r="E670" t="s">
        <v>2403</v>
      </c>
      <c r="F670">
        <v>2</v>
      </c>
      <c r="G670" s="7">
        <v>253.67</v>
      </c>
      <c r="H670" s="3" t="s">
        <v>2549</v>
      </c>
      <c r="I670" s="3" t="s">
        <v>3069</v>
      </c>
      <c r="J670" s="3" t="s">
        <v>3072</v>
      </c>
      <c r="K670" s="3" t="s">
        <v>3743</v>
      </c>
      <c r="L670" s="3">
        <v>3</v>
      </c>
      <c r="M670" s="10" t="s">
        <v>4277</v>
      </c>
      <c r="N670" s="3" t="s">
        <v>4281</v>
      </c>
      <c r="O670" s="7">
        <v>507.34</v>
      </c>
      <c r="P670" s="3">
        <f t="shared" si="21"/>
        <v>507.34</v>
      </c>
    </row>
    <row r="671" spans="1:16" x14ac:dyDescent="0.35">
      <c r="A671" t="s">
        <v>683</v>
      </c>
      <c r="B671" s="5">
        <v>44962</v>
      </c>
      <c r="C671" t="s">
        <v>1881</v>
      </c>
      <c r="E671" t="s">
        <v>2409</v>
      </c>
      <c r="F671">
        <v>1</v>
      </c>
      <c r="G671" s="7">
        <v>257</v>
      </c>
      <c r="H671" s="3" t="s">
        <v>2867</v>
      </c>
      <c r="I671" s="3" t="s">
        <v>3065</v>
      </c>
      <c r="J671" s="3" t="s">
        <v>3071</v>
      </c>
      <c r="K671" s="3" t="s">
        <v>3744</v>
      </c>
      <c r="L671" s="3">
        <v>5</v>
      </c>
      <c r="N671" s="3" t="s">
        <v>4279</v>
      </c>
      <c r="O671" s="7">
        <v>257</v>
      </c>
      <c r="P671" s="3">
        <f t="shared" si="21"/>
        <v>257</v>
      </c>
    </row>
    <row r="672" spans="1:16" x14ac:dyDescent="0.35">
      <c r="A672" t="s">
        <v>684</v>
      </c>
      <c r="B672" s="5">
        <v>45400</v>
      </c>
      <c r="C672" t="s">
        <v>1882</v>
      </c>
      <c r="E672" t="s">
        <v>2409</v>
      </c>
      <c r="F672">
        <v>4</v>
      </c>
      <c r="G672" s="7">
        <v>539.20000000000005</v>
      </c>
      <c r="H672" s="3" t="s">
        <v>2710</v>
      </c>
      <c r="I672" s="3" t="s">
        <v>3067</v>
      </c>
      <c r="J672" s="3" t="s">
        <v>3074</v>
      </c>
      <c r="K672" s="3" t="s">
        <v>3745</v>
      </c>
      <c r="L672" s="3">
        <v>8</v>
      </c>
      <c r="M672" s="10" t="s">
        <v>4276</v>
      </c>
      <c r="N672" s="3" t="s">
        <v>4282</v>
      </c>
      <c r="O672" s="7">
        <v>2156.8000000000002</v>
      </c>
      <c r="P672" s="3">
        <f t="shared" si="21"/>
        <v>2156.8000000000002</v>
      </c>
    </row>
    <row r="673" spans="1:16" x14ac:dyDescent="0.35">
      <c r="A673" t="s">
        <v>685</v>
      </c>
      <c r="B673" s="5">
        <v>45092</v>
      </c>
      <c r="C673" t="s">
        <v>1883</v>
      </c>
      <c r="E673" t="s">
        <v>2406</v>
      </c>
      <c r="F673">
        <v>5</v>
      </c>
      <c r="G673" s="7">
        <v>50.74</v>
      </c>
      <c r="H673" s="3" t="s">
        <v>2554</v>
      </c>
      <c r="I673" s="3" t="s">
        <v>3068</v>
      </c>
      <c r="J673" s="3" t="s">
        <v>3071</v>
      </c>
      <c r="K673" s="3" t="s">
        <v>3746</v>
      </c>
      <c r="L673" s="3">
        <v>7</v>
      </c>
      <c r="M673" s="10" t="s">
        <v>4277</v>
      </c>
      <c r="N673" s="3" t="s">
        <v>4282</v>
      </c>
      <c r="O673" s="7">
        <v>253.7</v>
      </c>
      <c r="P673" s="3">
        <f t="shared" si="21"/>
        <v>253.70000000000002</v>
      </c>
    </row>
    <row r="674" spans="1:16" x14ac:dyDescent="0.35">
      <c r="A674" t="s">
        <v>686</v>
      </c>
      <c r="B674" s="5">
        <v>45055</v>
      </c>
      <c r="C674" t="s">
        <v>1884</v>
      </c>
      <c r="E674" t="s">
        <v>2404</v>
      </c>
      <c r="F674">
        <v>2</v>
      </c>
      <c r="G674" s="7">
        <v>624.16</v>
      </c>
      <c r="H674" s="3" t="s">
        <v>2843</v>
      </c>
      <c r="I674" s="3" t="s">
        <v>3065</v>
      </c>
      <c r="J674" s="3" t="s">
        <v>3070</v>
      </c>
      <c r="K674" s="3" t="s">
        <v>3747</v>
      </c>
      <c r="L674" s="3">
        <v>2</v>
      </c>
      <c r="M674" s="10" t="s">
        <v>4275</v>
      </c>
      <c r="N674" s="3" t="s">
        <v>4278</v>
      </c>
      <c r="O674" s="7">
        <v>1248.32</v>
      </c>
      <c r="P674" s="3">
        <f t="shared" si="21"/>
        <v>1248.32</v>
      </c>
    </row>
    <row r="675" spans="1:16" x14ac:dyDescent="0.35">
      <c r="A675" t="s">
        <v>687</v>
      </c>
      <c r="B675" s="5">
        <v>44978</v>
      </c>
      <c r="C675" t="s">
        <v>1885</v>
      </c>
      <c r="E675" t="s">
        <v>2405</v>
      </c>
      <c r="F675">
        <v>2</v>
      </c>
      <c r="G675" s="7">
        <v>372.92</v>
      </c>
      <c r="H675" s="3" t="s">
        <v>2512</v>
      </c>
      <c r="I675" s="3" t="s">
        <v>3067</v>
      </c>
      <c r="J675" s="3" t="s">
        <v>3073</v>
      </c>
      <c r="K675" s="3" t="s">
        <v>3748</v>
      </c>
      <c r="L675" s="3">
        <v>7</v>
      </c>
      <c r="M675" s="10" t="s">
        <v>4275</v>
      </c>
      <c r="N675" s="3" t="s">
        <v>4280</v>
      </c>
      <c r="O675" s="7">
        <v>745.84</v>
      </c>
      <c r="P675" s="3">
        <f t="shared" si="21"/>
        <v>745.84</v>
      </c>
    </row>
    <row r="676" spans="1:16" x14ac:dyDescent="0.35">
      <c r="A676" t="s">
        <v>688</v>
      </c>
      <c r="B676" s="5">
        <v>45300</v>
      </c>
      <c r="C676" t="s">
        <v>1886</v>
      </c>
      <c r="E676" t="s">
        <v>2408</v>
      </c>
      <c r="F676">
        <v>4</v>
      </c>
      <c r="G676" s="7">
        <v>358.75</v>
      </c>
      <c r="H676" s="3" t="s">
        <v>2868</v>
      </c>
      <c r="I676" s="3" t="s">
        <v>3068</v>
      </c>
      <c r="J676" s="3" t="s">
        <v>3073</v>
      </c>
      <c r="K676" s="3" t="s">
        <v>3749</v>
      </c>
      <c r="L676" s="3">
        <v>9</v>
      </c>
      <c r="M676" s="10" t="s">
        <v>4275</v>
      </c>
      <c r="N676" s="3" t="s">
        <v>4281</v>
      </c>
      <c r="O676" s="7">
        <v>1435</v>
      </c>
      <c r="P676" s="3">
        <f t="shared" si="21"/>
        <v>1435</v>
      </c>
    </row>
    <row r="677" spans="1:16" x14ac:dyDescent="0.35">
      <c r="A677" t="s">
        <v>689</v>
      </c>
      <c r="B677" s="5">
        <v>45510</v>
      </c>
      <c r="C677" t="s">
        <v>1887</v>
      </c>
      <c r="E677" t="s">
        <v>2409</v>
      </c>
      <c r="F677">
        <v>3</v>
      </c>
      <c r="G677" s="7">
        <v>342.02</v>
      </c>
      <c r="H677" s="3" t="s">
        <v>2807</v>
      </c>
      <c r="I677" s="3" t="s">
        <v>3065</v>
      </c>
      <c r="J677" s="3" t="s">
        <v>3074</v>
      </c>
      <c r="K677" s="3" t="s">
        <v>3750</v>
      </c>
      <c r="L677" s="3">
        <v>5</v>
      </c>
      <c r="N677" s="3" t="s">
        <v>4280</v>
      </c>
      <c r="O677" s="7">
        <v>1026.06</v>
      </c>
      <c r="P677" s="3">
        <f t="shared" si="21"/>
        <v>1026.06</v>
      </c>
    </row>
    <row r="678" spans="1:16" x14ac:dyDescent="0.35">
      <c r="A678" t="s">
        <v>690</v>
      </c>
      <c r="B678" s="5">
        <v>45831</v>
      </c>
      <c r="C678" t="s">
        <v>1888</v>
      </c>
      <c r="E678" t="s">
        <v>2408</v>
      </c>
      <c r="F678">
        <v>2</v>
      </c>
      <c r="G678" s="7">
        <v>422.34</v>
      </c>
      <c r="H678" s="3" t="s">
        <v>2864</v>
      </c>
      <c r="I678" s="3" t="s">
        <v>3067</v>
      </c>
      <c r="J678" s="3" t="s">
        <v>3071</v>
      </c>
      <c r="K678" s="3" t="s">
        <v>3751</v>
      </c>
      <c r="L678" s="3">
        <v>4</v>
      </c>
      <c r="M678" s="10" t="s">
        <v>4276</v>
      </c>
      <c r="N678" s="3" t="s">
        <v>4278</v>
      </c>
      <c r="O678" s="7">
        <v>844.68</v>
      </c>
      <c r="P678" s="3">
        <f t="shared" si="21"/>
        <v>844.68</v>
      </c>
    </row>
    <row r="679" spans="1:16" x14ac:dyDescent="0.35">
      <c r="A679" t="s">
        <v>691</v>
      </c>
      <c r="B679" s="5">
        <v>45750</v>
      </c>
      <c r="C679" t="s">
        <v>1889</v>
      </c>
      <c r="E679" t="s">
        <v>2405</v>
      </c>
      <c r="F679">
        <v>5</v>
      </c>
      <c r="G679" s="7">
        <v>22.07</v>
      </c>
      <c r="H679" s="3" t="s">
        <v>2422</v>
      </c>
      <c r="I679" s="3" t="s">
        <v>3066</v>
      </c>
      <c r="J679" s="3" t="s">
        <v>3071</v>
      </c>
      <c r="K679" s="3" t="s">
        <v>3752</v>
      </c>
      <c r="L679" s="3">
        <v>7</v>
      </c>
      <c r="M679" s="10" t="s">
        <v>4276</v>
      </c>
      <c r="N679" s="3" t="s">
        <v>4278</v>
      </c>
      <c r="O679" s="7">
        <v>110.35</v>
      </c>
      <c r="P679" s="3">
        <f t="shared" si="21"/>
        <v>110.35</v>
      </c>
    </row>
    <row r="680" spans="1:16" x14ac:dyDescent="0.35">
      <c r="A680" t="s">
        <v>692</v>
      </c>
      <c r="B680" s="5">
        <v>45620</v>
      </c>
      <c r="C680" t="s">
        <v>1890</v>
      </c>
      <c r="E680" t="s">
        <v>2406</v>
      </c>
      <c r="F680">
        <v>3</v>
      </c>
      <c r="G680" s="7">
        <v>163.13</v>
      </c>
      <c r="H680" s="3" t="s">
        <v>2600</v>
      </c>
      <c r="I680" s="3" t="s">
        <v>3068</v>
      </c>
      <c r="J680" s="3" t="s">
        <v>3070</v>
      </c>
      <c r="K680" s="3" t="s">
        <v>3753</v>
      </c>
      <c r="L680" s="3">
        <v>5</v>
      </c>
      <c r="M680" s="10" t="s">
        <v>4277</v>
      </c>
      <c r="N680" s="3" t="s">
        <v>4281</v>
      </c>
      <c r="O680" s="7">
        <v>489.39</v>
      </c>
      <c r="P680" s="3">
        <f t="shared" si="21"/>
        <v>489.39</v>
      </c>
    </row>
    <row r="681" spans="1:16" x14ac:dyDescent="0.35">
      <c r="A681" t="s">
        <v>693</v>
      </c>
      <c r="B681" s="5">
        <v>44959</v>
      </c>
      <c r="C681" t="s">
        <v>1891</v>
      </c>
      <c r="E681" t="s">
        <v>2405</v>
      </c>
      <c r="F681">
        <v>3</v>
      </c>
      <c r="G681" s="7">
        <v>360.66</v>
      </c>
      <c r="H681" s="3" t="s">
        <v>2733</v>
      </c>
      <c r="I681" s="3" t="s">
        <v>3066</v>
      </c>
      <c r="J681" s="3" t="s">
        <v>3072</v>
      </c>
      <c r="K681" s="3" t="s">
        <v>3754</v>
      </c>
      <c r="L681" s="3">
        <v>5</v>
      </c>
      <c r="M681" s="10" t="s">
        <v>4276</v>
      </c>
      <c r="N681" s="3" t="s">
        <v>4278</v>
      </c>
      <c r="O681" s="7">
        <v>1081.98</v>
      </c>
      <c r="P681" s="3">
        <f t="shared" si="21"/>
        <v>1081.98</v>
      </c>
    </row>
    <row r="682" spans="1:16" x14ac:dyDescent="0.35">
      <c r="A682" t="s">
        <v>694</v>
      </c>
      <c r="B682" s="5">
        <v>45165</v>
      </c>
      <c r="C682" t="s">
        <v>1892</v>
      </c>
      <c r="E682" t="s">
        <v>2403</v>
      </c>
      <c r="F682">
        <v>3</v>
      </c>
      <c r="G682" s="7">
        <v>463.39</v>
      </c>
      <c r="H682" s="3" t="s">
        <v>2869</v>
      </c>
      <c r="I682" s="3" t="s">
        <v>3067</v>
      </c>
      <c r="J682" s="3" t="s">
        <v>3072</v>
      </c>
      <c r="K682" s="3" t="s">
        <v>3755</v>
      </c>
      <c r="L682" s="3">
        <v>3</v>
      </c>
      <c r="N682" s="3" t="s">
        <v>4281</v>
      </c>
      <c r="O682" s="7">
        <v>1390.17</v>
      </c>
      <c r="P682" s="3">
        <f t="shared" si="21"/>
        <v>1390.17</v>
      </c>
    </row>
    <row r="683" spans="1:16" x14ac:dyDescent="0.35">
      <c r="A683" t="s">
        <v>695</v>
      </c>
      <c r="B683" s="5">
        <v>45321</v>
      </c>
      <c r="C683" t="s">
        <v>1893</v>
      </c>
      <c r="E683" t="s">
        <v>2405</v>
      </c>
      <c r="F683">
        <v>1</v>
      </c>
      <c r="G683" s="7">
        <v>155.27000000000001</v>
      </c>
      <c r="H683" s="3" t="s">
        <v>2870</v>
      </c>
      <c r="I683" s="3" t="s">
        <v>3065</v>
      </c>
      <c r="J683" s="3" t="s">
        <v>3070</v>
      </c>
      <c r="K683" s="3" t="s">
        <v>3756</v>
      </c>
      <c r="L683" s="3">
        <v>6</v>
      </c>
      <c r="N683" s="3" t="s">
        <v>4280</v>
      </c>
      <c r="O683" s="7">
        <v>155.27000000000001</v>
      </c>
      <c r="P683" s="3">
        <f t="shared" si="21"/>
        <v>155.27000000000001</v>
      </c>
    </row>
    <row r="684" spans="1:16" x14ac:dyDescent="0.35">
      <c r="A684" t="s">
        <v>696</v>
      </c>
      <c r="B684" s="5">
        <v>45130</v>
      </c>
      <c r="C684" t="s">
        <v>1894</v>
      </c>
      <c r="E684" t="s">
        <v>2403</v>
      </c>
      <c r="F684">
        <v>3</v>
      </c>
      <c r="G684" s="7">
        <v>509.42</v>
      </c>
      <c r="H684" s="3" t="s">
        <v>2777</v>
      </c>
      <c r="I684" s="3" t="s">
        <v>3067</v>
      </c>
      <c r="J684" s="3" t="s">
        <v>3071</v>
      </c>
      <c r="K684" s="3" t="s">
        <v>3757</v>
      </c>
      <c r="L684" s="3">
        <v>5</v>
      </c>
      <c r="M684" s="10" t="s">
        <v>4276</v>
      </c>
      <c r="N684" s="3" t="s">
        <v>4282</v>
      </c>
      <c r="O684" s="7">
        <v>1528.26</v>
      </c>
      <c r="P684" s="3">
        <f t="shared" si="21"/>
        <v>1528.26</v>
      </c>
    </row>
    <row r="685" spans="1:16" x14ac:dyDescent="0.35">
      <c r="A685" t="s">
        <v>697</v>
      </c>
      <c r="B685" s="5">
        <v>45795</v>
      </c>
      <c r="C685" t="s">
        <v>1895</v>
      </c>
      <c r="E685" t="s">
        <v>2409</v>
      </c>
      <c r="F685">
        <v>4</v>
      </c>
      <c r="G685" s="7">
        <v>652.48</v>
      </c>
      <c r="H685" s="3" t="s">
        <v>2871</v>
      </c>
      <c r="I685" s="3" t="s">
        <v>3069</v>
      </c>
      <c r="J685" s="3" t="s">
        <v>3074</v>
      </c>
      <c r="K685" s="3" t="s">
        <v>3758</v>
      </c>
      <c r="L685" s="3">
        <v>5</v>
      </c>
      <c r="M685" s="10" t="s">
        <v>4276</v>
      </c>
      <c r="N685" s="3" t="s">
        <v>4278</v>
      </c>
      <c r="O685" s="7">
        <v>2609.92</v>
      </c>
      <c r="P685" s="3">
        <f t="shared" si="21"/>
        <v>2609.92</v>
      </c>
    </row>
    <row r="686" spans="1:16" x14ac:dyDescent="0.35">
      <c r="A686" t="s">
        <v>698</v>
      </c>
      <c r="B686" s="5">
        <v>45557</v>
      </c>
      <c r="C686" t="s">
        <v>1896</v>
      </c>
      <c r="E686" t="s">
        <v>2407</v>
      </c>
      <c r="F686">
        <v>4</v>
      </c>
      <c r="G686" s="7">
        <v>34.840000000000003</v>
      </c>
      <c r="H686" s="3" t="s">
        <v>2872</v>
      </c>
      <c r="I686" s="3" t="s">
        <v>3067</v>
      </c>
      <c r="J686" s="3" t="s">
        <v>3070</v>
      </c>
      <c r="K686" s="3" t="s">
        <v>3759</v>
      </c>
      <c r="L686" s="3">
        <v>8</v>
      </c>
      <c r="N686" s="3" t="s">
        <v>4280</v>
      </c>
      <c r="O686" s="7">
        <v>139.36000000000001</v>
      </c>
      <c r="P686" s="3">
        <f t="shared" si="21"/>
        <v>139.36000000000001</v>
      </c>
    </row>
    <row r="687" spans="1:16" x14ac:dyDescent="0.35">
      <c r="A687" t="s">
        <v>699</v>
      </c>
      <c r="B687" s="5">
        <v>45695</v>
      </c>
      <c r="C687" t="s">
        <v>1897</v>
      </c>
      <c r="E687" t="s">
        <v>2409</v>
      </c>
      <c r="F687">
        <v>1</v>
      </c>
      <c r="G687" s="7">
        <v>234.37</v>
      </c>
      <c r="H687" s="3" t="s">
        <v>2873</v>
      </c>
      <c r="I687" s="3" t="s">
        <v>3065</v>
      </c>
      <c r="J687" s="3" t="s">
        <v>3070</v>
      </c>
      <c r="K687" s="3" t="s">
        <v>3760</v>
      </c>
      <c r="L687" s="3">
        <v>5</v>
      </c>
      <c r="M687" s="10" t="s">
        <v>4276</v>
      </c>
      <c r="N687" s="3" t="s">
        <v>4280</v>
      </c>
      <c r="O687" s="7">
        <v>234.37</v>
      </c>
      <c r="P687" s="3">
        <f t="shared" si="21"/>
        <v>234.37</v>
      </c>
    </row>
    <row r="688" spans="1:16" x14ac:dyDescent="0.35">
      <c r="A688" t="s">
        <v>700</v>
      </c>
      <c r="B688" s="5">
        <v>45208</v>
      </c>
      <c r="C688" t="s">
        <v>1898</v>
      </c>
      <c r="E688" t="s">
        <v>2409</v>
      </c>
      <c r="F688">
        <v>3</v>
      </c>
      <c r="G688" s="7">
        <v>53.6</v>
      </c>
      <c r="H688" s="3" t="s">
        <v>2874</v>
      </c>
      <c r="I688" s="3" t="s">
        <v>3069</v>
      </c>
      <c r="J688" s="3" t="s">
        <v>3074</v>
      </c>
      <c r="K688" s="3" t="s">
        <v>3761</v>
      </c>
      <c r="L688" s="3">
        <v>4</v>
      </c>
      <c r="M688" s="10" t="s">
        <v>4277</v>
      </c>
      <c r="N688" s="3" t="s">
        <v>4281</v>
      </c>
      <c r="O688" s="7">
        <v>160.80000000000001</v>
      </c>
      <c r="P688" s="3">
        <f t="shared" si="21"/>
        <v>160.80000000000001</v>
      </c>
    </row>
    <row r="689" spans="1:16" x14ac:dyDescent="0.35">
      <c r="A689" t="s">
        <v>701</v>
      </c>
      <c r="B689" s="5">
        <v>45182</v>
      </c>
      <c r="C689" t="s">
        <v>1899</v>
      </c>
      <c r="E689" t="s">
        <v>2405</v>
      </c>
      <c r="F689">
        <v>1</v>
      </c>
      <c r="G689" s="7">
        <v>332.09</v>
      </c>
      <c r="H689" s="3" t="s">
        <v>2875</v>
      </c>
      <c r="I689" s="3" t="s">
        <v>3068</v>
      </c>
      <c r="J689" s="3" t="s">
        <v>3072</v>
      </c>
      <c r="K689" s="3" t="s">
        <v>3762</v>
      </c>
      <c r="L689" s="3">
        <v>5</v>
      </c>
      <c r="M689" s="10" t="s">
        <v>4276</v>
      </c>
      <c r="N689" s="3" t="s">
        <v>4278</v>
      </c>
      <c r="O689" s="7">
        <v>332.09</v>
      </c>
      <c r="P689" s="3">
        <f t="shared" si="21"/>
        <v>332.09</v>
      </c>
    </row>
    <row r="690" spans="1:16" x14ac:dyDescent="0.35">
      <c r="A690" t="s">
        <v>702</v>
      </c>
      <c r="B690" s="5">
        <v>45357</v>
      </c>
      <c r="C690" t="s">
        <v>1900</v>
      </c>
      <c r="E690" t="s">
        <v>2403</v>
      </c>
      <c r="F690">
        <v>4</v>
      </c>
      <c r="G690" s="7">
        <v>593.22</v>
      </c>
      <c r="H690" s="3" t="s">
        <v>2842</v>
      </c>
      <c r="I690" s="3" t="s">
        <v>3067</v>
      </c>
      <c r="J690" s="3" t="s">
        <v>3071</v>
      </c>
      <c r="K690" s="3" t="s">
        <v>3763</v>
      </c>
      <c r="L690" s="3">
        <v>8</v>
      </c>
      <c r="M690" s="10" t="s">
        <v>4277</v>
      </c>
      <c r="N690" s="3" t="s">
        <v>4281</v>
      </c>
      <c r="O690" s="7">
        <v>2372.88</v>
      </c>
      <c r="P690" s="3">
        <f t="shared" si="21"/>
        <v>2372.88</v>
      </c>
    </row>
    <row r="691" spans="1:16" x14ac:dyDescent="0.35">
      <c r="A691" t="s">
        <v>703</v>
      </c>
      <c r="B691" s="5">
        <v>45167</v>
      </c>
      <c r="C691" t="s">
        <v>1901</v>
      </c>
      <c r="E691" t="s">
        <v>2405</v>
      </c>
      <c r="F691">
        <v>2</v>
      </c>
      <c r="G691" s="7">
        <v>444.84</v>
      </c>
      <c r="H691" s="3" t="s">
        <v>2876</v>
      </c>
      <c r="I691" s="3" t="s">
        <v>3066</v>
      </c>
      <c r="J691" s="3" t="s">
        <v>3070</v>
      </c>
      <c r="K691" s="3" t="s">
        <v>3764</v>
      </c>
      <c r="L691" s="3">
        <v>7</v>
      </c>
      <c r="N691" s="3" t="s">
        <v>4281</v>
      </c>
      <c r="O691" s="7">
        <v>889.68</v>
      </c>
      <c r="P691" s="3">
        <f t="shared" si="21"/>
        <v>889.68</v>
      </c>
    </row>
    <row r="692" spans="1:16" x14ac:dyDescent="0.35">
      <c r="A692" t="s">
        <v>704</v>
      </c>
      <c r="B692" s="5">
        <v>45485</v>
      </c>
      <c r="C692" t="s">
        <v>1902</v>
      </c>
      <c r="E692" t="s">
        <v>2403</v>
      </c>
      <c r="F692">
        <v>1</v>
      </c>
      <c r="G692" s="7">
        <v>24.48</v>
      </c>
      <c r="H692" s="3" t="s">
        <v>2445</v>
      </c>
      <c r="I692" s="3" t="s">
        <v>3068</v>
      </c>
      <c r="J692" s="3" t="s">
        <v>3072</v>
      </c>
      <c r="K692" s="3" t="s">
        <v>3765</v>
      </c>
      <c r="L692" s="3">
        <v>1</v>
      </c>
      <c r="N692" s="3" t="s">
        <v>4278</v>
      </c>
      <c r="O692" s="7">
        <v>24.48</v>
      </c>
      <c r="P692" s="3">
        <f t="shared" si="21"/>
        <v>24.48</v>
      </c>
    </row>
    <row r="693" spans="1:16" x14ac:dyDescent="0.35">
      <c r="A693" t="s">
        <v>705</v>
      </c>
      <c r="B693" s="5">
        <v>45620</v>
      </c>
      <c r="C693" t="s">
        <v>1903</v>
      </c>
      <c r="E693" t="s">
        <v>2408</v>
      </c>
      <c r="F693">
        <v>3</v>
      </c>
      <c r="G693" s="7">
        <v>239.08</v>
      </c>
      <c r="H693" s="3" t="s">
        <v>2877</v>
      </c>
      <c r="I693" s="3" t="s">
        <v>3069</v>
      </c>
      <c r="J693" s="3" t="s">
        <v>3070</v>
      </c>
      <c r="K693" s="3" t="s">
        <v>3766</v>
      </c>
      <c r="L693" s="3">
        <v>8</v>
      </c>
      <c r="N693" s="3" t="s">
        <v>4282</v>
      </c>
      <c r="O693" s="7">
        <v>717.24</v>
      </c>
      <c r="P693" s="3">
        <f t="shared" si="21"/>
        <v>717.24</v>
      </c>
    </row>
    <row r="694" spans="1:16" x14ac:dyDescent="0.35">
      <c r="A694" t="s">
        <v>706</v>
      </c>
      <c r="B694" s="5">
        <v>44949</v>
      </c>
      <c r="C694" t="s">
        <v>1904</v>
      </c>
      <c r="E694" t="s">
        <v>2409</v>
      </c>
      <c r="F694">
        <v>5</v>
      </c>
      <c r="G694" s="7">
        <v>196.84</v>
      </c>
      <c r="H694" s="3" t="s">
        <v>2732</v>
      </c>
      <c r="I694" s="3" t="s">
        <v>3067</v>
      </c>
      <c r="J694" s="3" t="s">
        <v>3073</v>
      </c>
      <c r="K694" s="3" t="s">
        <v>3767</v>
      </c>
      <c r="L694" s="3">
        <v>5</v>
      </c>
      <c r="M694" s="10" t="s">
        <v>4277</v>
      </c>
      <c r="N694" s="3" t="s">
        <v>4278</v>
      </c>
      <c r="O694" s="7">
        <v>984.2</v>
      </c>
      <c r="P694" s="3">
        <f t="shared" si="21"/>
        <v>984.2</v>
      </c>
    </row>
    <row r="695" spans="1:16" x14ac:dyDescent="0.35">
      <c r="A695" t="s">
        <v>707</v>
      </c>
      <c r="B695" s="5">
        <v>45728</v>
      </c>
      <c r="C695" t="s">
        <v>1905</v>
      </c>
      <c r="E695" t="s">
        <v>2403</v>
      </c>
      <c r="F695">
        <v>1</v>
      </c>
      <c r="G695" s="7">
        <v>176.58</v>
      </c>
      <c r="H695" s="3" t="s">
        <v>2878</v>
      </c>
      <c r="I695" s="3" t="s">
        <v>3065</v>
      </c>
      <c r="J695" s="3" t="s">
        <v>3072</v>
      </c>
      <c r="K695" s="3" t="s">
        <v>3768</v>
      </c>
      <c r="L695" s="3">
        <v>4</v>
      </c>
      <c r="N695" s="3" t="s">
        <v>4279</v>
      </c>
      <c r="O695" s="7">
        <v>176.58</v>
      </c>
      <c r="P695" s="3">
        <f t="shared" si="21"/>
        <v>176.58</v>
      </c>
    </row>
    <row r="696" spans="1:16" x14ac:dyDescent="0.35">
      <c r="A696" t="s">
        <v>708</v>
      </c>
      <c r="B696" s="5">
        <v>45201</v>
      </c>
      <c r="C696" t="s">
        <v>1906</v>
      </c>
      <c r="E696" t="s">
        <v>2407</v>
      </c>
      <c r="F696">
        <v>4</v>
      </c>
      <c r="G696" s="7">
        <v>666.52</v>
      </c>
      <c r="H696" s="3" t="s">
        <v>2695</v>
      </c>
      <c r="I696" s="3" t="s">
        <v>3069</v>
      </c>
      <c r="J696" s="3" t="s">
        <v>3070</v>
      </c>
      <c r="K696" s="3" t="s">
        <v>3769</v>
      </c>
      <c r="L696" s="3">
        <v>8</v>
      </c>
      <c r="M696" s="10" t="s">
        <v>4276</v>
      </c>
      <c r="N696" s="3" t="s">
        <v>4280</v>
      </c>
      <c r="O696" s="7">
        <v>2666.08</v>
      </c>
      <c r="P696" s="3">
        <f t="shared" si="21"/>
        <v>2666.08</v>
      </c>
    </row>
    <row r="697" spans="1:16" x14ac:dyDescent="0.35">
      <c r="A697" t="s">
        <v>709</v>
      </c>
      <c r="B697" s="5">
        <v>45619</v>
      </c>
      <c r="C697" t="s">
        <v>1907</v>
      </c>
      <c r="E697" t="s">
        <v>2407</v>
      </c>
      <c r="F697">
        <v>5</v>
      </c>
      <c r="G697" s="7">
        <v>101.3</v>
      </c>
      <c r="H697" s="3" t="s">
        <v>2568</v>
      </c>
      <c r="I697" s="3" t="s">
        <v>3066</v>
      </c>
      <c r="J697" s="3" t="s">
        <v>3070</v>
      </c>
      <c r="K697" s="3" t="s">
        <v>3770</v>
      </c>
      <c r="L697" s="3">
        <v>7</v>
      </c>
      <c r="M697" s="10" t="s">
        <v>4276</v>
      </c>
      <c r="N697" s="3" t="s">
        <v>4280</v>
      </c>
      <c r="O697" s="7">
        <v>506.5</v>
      </c>
      <c r="P697" s="3">
        <f t="shared" si="21"/>
        <v>506.5</v>
      </c>
    </row>
    <row r="698" spans="1:16" x14ac:dyDescent="0.35">
      <c r="A698" t="s">
        <v>710</v>
      </c>
      <c r="B698" s="5">
        <v>45109</v>
      </c>
      <c r="C698" t="s">
        <v>1908</v>
      </c>
      <c r="E698" t="s">
        <v>2406</v>
      </c>
      <c r="F698">
        <v>4</v>
      </c>
      <c r="G698" s="7">
        <v>151.19999999999999</v>
      </c>
      <c r="H698" s="3" t="s">
        <v>2879</v>
      </c>
      <c r="I698" s="3" t="s">
        <v>3068</v>
      </c>
      <c r="J698" s="3" t="s">
        <v>3074</v>
      </c>
      <c r="K698" s="3" t="s">
        <v>3771</v>
      </c>
      <c r="L698" s="3">
        <v>9</v>
      </c>
      <c r="M698" s="10" t="s">
        <v>4277</v>
      </c>
      <c r="N698" s="3" t="s">
        <v>4281</v>
      </c>
      <c r="O698" s="7">
        <v>604.79999999999995</v>
      </c>
      <c r="P698" s="3">
        <f t="shared" si="21"/>
        <v>604.79999999999995</v>
      </c>
    </row>
    <row r="699" spans="1:16" x14ac:dyDescent="0.35">
      <c r="A699" t="s">
        <v>711</v>
      </c>
      <c r="B699" s="5">
        <v>45692</v>
      </c>
      <c r="C699" t="s">
        <v>1909</v>
      </c>
      <c r="E699" t="s">
        <v>2407</v>
      </c>
      <c r="F699">
        <v>5</v>
      </c>
      <c r="G699" s="7">
        <v>94.85</v>
      </c>
      <c r="H699" s="3" t="s">
        <v>2840</v>
      </c>
      <c r="I699" s="3" t="s">
        <v>3069</v>
      </c>
      <c r="J699" s="3" t="s">
        <v>3070</v>
      </c>
      <c r="K699" s="3" t="s">
        <v>3772</v>
      </c>
      <c r="L699" s="3">
        <v>6</v>
      </c>
      <c r="M699" s="10" t="s">
        <v>4277</v>
      </c>
      <c r="N699" s="3" t="s">
        <v>4280</v>
      </c>
      <c r="O699" s="7">
        <v>474.25</v>
      </c>
      <c r="P699" s="3">
        <f t="shared" si="21"/>
        <v>474.25</v>
      </c>
    </row>
    <row r="700" spans="1:16" x14ac:dyDescent="0.35">
      <c r="A700" t="s">
        <v>712</v>
      </c>
      <c r="B700" s="5">
        <v>44930</v>
      </c>
      <c r="C700" t="s">
        <v>1910</v>
      </c>
      <c r="E700" t="s">
        <v>2408</v>
      </c>
      <c r="F700">
        <v>2</v>
      </c>
      <c r="G700" s="7">
        <v>388.22</v>
      </c>
      <c r="H700" s="3" t="s">
        <v>2792</v>
      </c>
      <c r="I700" s="3" t="s">
        <v>3069</v>
      </c>
      <c r="J700" s="3" t="s">
        <v>3073</v>
      </c>
      <c r="K700" s="3" t="s">
        <v>3773</v>
      </c>
      <c r="L700" s="3">
        <v>2</v>
      </c>
      <c r="M700" s="10" t="s">
        <v>4277</v>
      </c>
      <c r="N700" s="3" t="s">
        <v>4278</v>
      </c>
      <c r="O700" s="7">
        <v>776.44</v>
      </c>
      <c r="P700" s="3">
        <f t="shared" si="21"/>
        <v>776.44</v>
      </c>
    </row>
    <row r="701" spans="1:16" x14ac:dyDescent="0.35">
      <c r="A701" t="s">
        <v>713</v>
      </c>
      <c r="B701" s="5">
        <v>45243</v>
      </c>
      <c r="C701" t="s">
        <v>1911</v>
      </c>
      <c r="E701" t="s">
        <v>2408</v>
      </c>
      <c r="F701">
        <v>3</v>
      </c>
      <c r="G701" s="7">
        <v>614.15</v>
      </c>
      <c r="H701" s="3" t="s">
        <v>2880</v>
      </c>
      <c r="I701" s="3" t="s">
        <v>3068</v>
      </c>
      <c r="J701" s="3" t="s">
        <v>3071</v>
      </c>
      <c r="K701" s="3" t="s">
        <v>3774</v>
      </c>
      <c r="L701" s="3">
        <v>3</v>
      </c>
      <c r="N701" s="3" t="s">
        <v>4281</v>
      </c>
      <c r="O701" s="7">
        <v>1842.45</v>
      </c>
      <c r="P701" s="3">
        <f t="shared" si="21"/>
        <v>1842.4499999999998</v>
      </c>
    </row>
    <row r="702" spans="1:16" x14ac:dyDescent="0.35">
      <c r="A702" t="s">
        <v>714</v>
      </c>
      <c r="B702" s="5">
        <v>45560</v>
      </c>
      <c r="C702" t="s">
        <v>1912</v>
      </c>
      <c r="E702" t="s">
        <v>2408</v>
      </c>
      <c r="F702">
        <v>2</v>
      </c>
      <c r="G702" s="7">
        <v>92.91</v>
      </c>
      <c r="H702" s="3" t="s">
        <v>2881</v>
      </c>
      <c r="I702" s="3" t="s">
        <v>3069</v>
      </c>
      <c r="J702" s="3" t="s">
        <v>3072</v>
      </c>
      <c r="K702" s="3" t="s">
        <v>3775</v>
      </c>
      <c r="L702" s="3">
        <v>3</v>
      </c>
      <c r="M702" s="10" t="s">
        <v>4277</v>
      </c>
      <c r="N702" s="3" t="s">
        <v>4278</v>
      </c>
      <c r="O702" s="7">
        <v>185.82</v>
      </c>
      <c r="P702" s="3">
        <f t="shared" si="21"/>
        <v>185.82</v>
      </c>
    </row>
    <row r="703" spans="1:16" x14ac:dyDescent="0.35">
      <c r="A703" t="s">
        <v>715</v>
      </c>
      <c r="B703" s="5">
        <v>45466</v>
      </c>
      <c r="C703" t="s">
        <v>1913</v>
      </c>
      <c r="E703" t="s">
        <v>2403</v>
      </c>
      <c r="F703">
        <v>3</v>
      </c>
      <c r="G703" s="7">
        <v>92.22</v>
      </c>
      <c r="H703" s="3" t="s">
        <v>2517</v>
      </c>
      <c r="I703" s="3" t="s">
        <v>3067</v>
      </c>
      <c r="J703" s="3" t="s">
        <v>3073</v>
      </c>
      <c r="K703" s="3" t="s">
        <v>3776</v>
      </c>
      <c r="L703" s="3">
        <v>5</v>
      </c>
      <c r="M703" s="10" t="s">
        <v>4276</v>
      </c>
      <c r="N703" s="3" t="s">
        <v>4280</v>
      </c>
      <c r="O703" s="7">
        <v>276.66000000000003</v>
      </c>
      <c r="P703" s="3">
        <f t="shared" si="21"/>
        <v>276.65999999999997</v>
      </c>
    </row>
    <row r="704" spans="1:16" x14ac:dyDescent="0.35">
      <c r="A704" t="s">
        <v>716</v>
      </c>
      <c r="B704" s="5">
        <v>45452</v>
      </c>
      <c r="C704" t="s">
        <v>1914</v>
      </c>
      <c r="E704" t="s">
        <v>2407</v>
      </c>
      <c r="F704">
        <v>3</v>
      </c>
      <c r="G704" s="7">
        <v>562.54999999999995</v>
      </c>
      <c r="H704" s="3" t="s">
        <v>2842</v>
      </c>
      <c r="I704" s="3" t="s">
        <v>3065</v>
      </c>
      <c r="J704" s="3" t="s">
        <v>3072</v>
      </c>
      <c r="K704" s="3" t="s">
        <v>3777</v>
      </c>
      <c r="L704" s="3">
        <v>6</v>
      </c>
      <c r="N704" s="3" t="s">
        <v>4280</v>
      </c>
      <c r="O704" s="7">
        <v>1687.65</v>
      </c>
      <c r="P704" s="3">
        <f t="shared" si="21"/>
        <v>1687.6499999999999</v>
      </c>
    </row>
    <row r="705" spans="1:16" x14ac:dyDescent="0.35">
      <c r="A705" t="s">
        <v>717</v>
      </c>
      <c r="B705" s="5">
        <v>45007</v>
      </c>
      <c r="C705" t="s">
        <v>1915</v>
      </c>
      <c r="E705" t="s">
        <v>2409</v>
      </c>
      <c r="F705">
        <v>1</v>
      </c>
      <c r="G705" s="7">
        <v>92.79</v>
      </c>
      <c r="H705" s="3" t="s">
        <v>2882</v>
      </c>
      <c r="I705" s="3" t="s">
        <v>3069</v>
      </c>
      <c r="J705" s="3" t="s">
        <v>3074</v>
      </c>
      <c r="K705" s="3" t="s">
        <v>3778</v>
      </c>
      <c r="L705" s="3">
        <v>3</v>
      </c>
      <c r="M705" s="10" t="s">
        <v>4277</v>
      </c>
      <c r="N705" s="3" t="s">
        <v>4280</v>
      </c>
      <c r="O705" s="7">
        <v>92.79</v>
      </c>
      <c r="P705" s="3">
        <f t="shared" si="21"/>
        <v>92.79</v>
      </c>
    </row>
    <row r="706" spans="1:16" x14ac:dyDescent="0.35">
      <c r="A706" t="s">
        <v>718</v>
      </c>
      <c r="B706" s="5">
        <v>45080</v>
      </c>
      <c r="C706" t="s">
        <v>1916</v>
      </c>
      <c r="E706" t="s">
        <v>2409</v>
      </c>
      <c r="F706">
        <v>4</v>
      </c>
      <c r="G706" s="7">
        <v>30.27</v>
      </c>
      <c r="H706" s="3" t="s">
        <v>2555</v>
      </c>
      <c r="I706" s="3" t="s">
        <v>3066</v>
      </c>
      <c r="J706" s="3" t="s">
        <v>3073</v>
      </c>
      <c r="K706" s="3" t="s">
        <v>3779</v>
      </c>
      <c r="L706" s="3">
        <v>9</v>
      </c>
      <c r="M706" s="10" t="s">
        <v>4276</v>
      </c>
      <c r="N706" s="3" t="s">
        <v>4282</v>
      </c>
      <c r="O706" s="7">
        <v>121.08</v>
      </c>
      <c r="P706" s="3">
        <f t="shared" si="21"/>
        <v>121.08</v>
      </c>
    </row>
    <row r="707" spans="1:16" x14ac:dyDescent="0.35">
      <c r="A707" t="s">
        <v>719</v>
      </c>
      <c r="B707" s="5">
        <v>45746</v>
      </c>
      <c r="C707" t="s">
        <v>1917</v>
      </c>
      <c r="E707" t="s">
        <v>2403</v>
      </c>
      <c r="F707">
        <v>2</v>
      </c>
      <c r="G707" s="7">
        <v>49.08</v>
      </c>
      <c r="H707" s="3" t="s">
        <v>2883</v>
      </c>
      <c r="I707" s="3" t="s">
        <v>3065</v>
      </c>
      <c r="J707" s="3" t="s">
        <v>3072</v>
      </c>
      <c r="K707" s="3" t="s">
        <v>3780</v>
      </c>
      <c r="L707" s="3">
        <v>7</v>
      </c>
      <c r="M707" s="10" t="s">
        <v>4276</v>
      </c>
      <c r="N707" s="3" t="s">
        <v>4278</v>
      </c>
      <c r="O707" s="7">
        <v>98.16</v>
      </c>
      <c r="P707" s="3">
        <f t="shared" ref="P707:P770" si="22">G707*F707</f>
        <v>98.16</v>
      </c>
    </row>
    <row r="708" spans="1:16" x14ac:dyDescent="0.35">
      <c r="A708" t="s">
        <v>720</v>
      </c>
      <c r="B708" s="5">
        <v>45718</v>
      </c>
      <c r="C708" t="s">
        <v>1918</v>
      </c>
      <c r="E708" t="s">
        <v>2409</v>
      </c>
      <c r="F708">
        <v>5</v>
      </c>
      <c r="G708" s="7">
        <v>228.09</v>
      </c>
      <c r="H708" s="3" t="s">
        <v>2720</v>
      </c>
      <c r="I708" s="3" t="s">
        <v>3068</v>
      </c>
      <c r="J708" s="3" t="s">
        <v>3072</v>
      </c>
      <c r="K708" s="3" t="s">
        <v>3781</v>
      </c>
      <c r="L708" s="3">
        <v>9</v>
      </c>
      <c r="M708" s="10" t="s">
        <v>4276</v>
      </c>
      <c r="N708" s="3" t="s">
        <v>4281</v>
      </c>
      <c r="O708" s="7">
        <v>1140.45</v>
      </c>
      <c r="P708" s="3">
        <f t="shared" si="22"/>
        <v>1140.45</v>
      </c>
    </row>
    <row r="709" spans="1:16" x14ac:dyDescent="0.35">
      <c r="A709" t="s">
        <v>721</v>
      </c>
      <c r="B709" s="5">
        <v>45597</v>
      </c>
      <c r="C709" t="s">
        <v>1919</v>
      </c>
      <c r="E709" t="s">
        <v>2406</v>
      </c>
      <c r="F709">
        <v>4</v>
      </c>
      <c r="G709" s="7">
        <v>650.04</v>
      </c>
      <c r="H709" s="3" t="s">
        <v>2487</v>
      </c>
      <c r="I709" s="3" t="s">
        <v>3068</v>
      </c>
      <c r="J709" s="3" t="s">
        <v>3071</v>
      </c>
      <c r="K709" s="3" t="s">
        <v>3782</v>
      </c>
      <c r="L709" s="3">
        <v>6</v>
      </c>
      <c r="M709" s="10" t="s">
        <v>4275</v>
      </c>
      <c r="N709" s="3" t="s">
        <v>4281</v>
      </c>
      <c r="O709" s="7">
        <v>2600.16</v>
      </c>
      <c r="P709" s="3">
        <f t="shared" si="22"/>
        <v>2600.16</v>
      </c>
    </row>
    <row r="710" spans="1:16" x14ac:dyDescent="0.35">
      <c r="A710" t="s">
        <v>722</v>
      </c>
      <c r="B710" s="5">
        <v>45720</v>
      </c>
      <c r="C710" t="s">
        <v>1920</v>
      </c>
      <c r="E710" t="s">
        <v>2407</v>
      </c>
      <c r="F710">
        <v>1</v>
      </c>
      <c r="G710" s="7">
        <v>665.11</v>
      </c>
      <c r="H710" s="3" t="s">
        <v>2840</v>
      </c>
      <c r="I710" s="3" t="s">
        <v>3069</v>
      </c>
      <c r="J710" s="3" t="s">
        <v>3074</v>
      </c>
      <c r="K710" s="3" t="s">
        <v>3783</v>
      </c>
      <c r="L710" s="3">
        <v>3</v>
      </c>
      <c r="M710" s="10" t="s">
        <v>4276</v>
      </c>
      <c r="N710" s="3" t="s">
        <v>4278</v>
      </c>
      <c r="O710" s="7">
        <v>665.11</v>
      </c>
      <c r="P710" s="3">
        <f t="shared" si="22"/>
        <v>665.11</v>
      </c>
    </row>
    <row r="711" spans="1:16" x14ac:dyDescent="0.35">
      <c r="A711" t="s">
        <v>723</v>
      </c>
      <c r="B711" s="5">
        <v>45633</v>
      </c>
      <c r="C711" t="s">
        <v>1921</v>
      </c>
      <c r="E711" t="s">
        <v>2409</v>
      </c>
      <c r="F711">
        <v>1</v>
      </c>
      <c r="G711" s="7">
        <v>386.03</v>
      </c>
      <c r="H711" s="3" t="s">
        <v>2884</v>
      </c>
      <c r="I711" s="3" t="s">
        <v>3066</v>
      </c>
      <c r="J711" s="3" t="s">
        <v>3074</v>
      </c>
      <c r="K711" s="3" t="s">
        <v>3784</v>
      </c>
      <c r="L711" s="3">
        <v>4</v>
      </c>
      <c r="M711" s="10" t="s">
        <v>4276</v>
      </c>
      <c r="N711" s="3" t="s">
        <v>4282</v>
      </c>
      <c r="O711" s="7">
        <v>386.03</v>
      </c>
      <c r="P711" s="3">
        <f t="shared" si="22"/>
        <v>386.03</v>
      </c>
    </row>
    <row r="712" spans="1:16" x14ac:dyDescent="0.35">
      <c r="A712" t="s">
        <v>724</v>
      </c>
      <c r="B712" s="5">
        <v>45495</v>
      </c>
      <c r="C712" t="s">
        <v>1922</v>
      </c>
      <c r="E712" t="s">
        <v>2408</v>
      </c>
      <c r="F712">
        <v>5</v>
      </c>
      <c r="G712" s="7">
        <v>21.54</v>
      </c>
      <c r="H712" s="3" t="s">
        <v>2885</v>
      </c>
      <c r="I712" s="3" t="s">
        <v>3068</v>
      </c>
      <c r="J712" s="3" t="s">
        <v>3072</v>
      </c>
      <c r="K712" s="3" t="s">
        <v>3785</v>
      </c>
      <c r="L712" s="3">
        <v>10</v>
      </c>
      <c r="N712" s="3" t="s">
        <v>4282</v>
      </c>
      <c r="O712" s="7">
        <v>107.7</v>
      </c>
      <c r="P712" s="3">
        <f t="shared" si="22"/>
        <v>107.69999999999999</v>
      </c>
    </row>
    <row r="713" spans="1:16" x14ac:dyDescent="0.35">
      <c r="A713" t="s">
        <v>725</v>
      </c>
      <c r="B713" s="5">
        <v>45477</v>
      </c>
      <c r="C713" t="s">
        <v>1923</v>
      </c>
      <c r="E713" t="s">
        <v>2405</v>
      </c>
      <c r="F713">
        <v>2</v>
      </c>
      <c r="G713" s="7">
        <v>475.78</v>
      </c>
      <c r="H713" s="3" t="s">
        <v>2886</v>
      </c>
      <c r="I713" s="3" t="s">
        <v>3066</v>
      </c>
      <c r="J713" s="3" t="s">
        <v>3070</v>
      </c>
      <c r="K713" s="3" t="s">
        <v>3786</v>
      </c>
      <c r="L713" s="3">
        <v>2</v>
      </c>
      <c r="M713" s="10" t="s">
        <v>4277</v>
      </c>
      <c r="N713" s="3" t="s">
        <v>4282</v>
      </c>
      <c r="O713" s="7">
        <v>951.56</v>
      </c>
      <c r="P713" s="3">
        <f t="shared" si="22"/>
        <v>951.56</v>
      </c>
    </row>
    <row r="714" spans="1:16" x14ac:dyDescent="0.35">
      <c r="A714" t="s">
        <v>726</v>
      </c>
      <c r="B714" s="5">
        <v>45300</v>
      </c>
      <c r="C714" t="s">
        <v>1771</v>
      </c>
      <c r="E714" t="s">
        <v>2405</v>
      </c>
      <c r="F714">
        <v>2</v>
      </c>
      <c r="G714" s="7">
        <v>68.400000000000006</v>
      </c>
      <c r="H714" s="3" t="s">
        <v>2887</v>
      </c>
      <c r="I714" s="3" t="s">
        <v>3068</v>
      </c>
      <c r="J714" s="3" t="s">
        <v>3074</v>
      </c>
      <c r="K714" s="3" t="s">
        <v>3787</v>
      </c>
      <c r="L714" s="3">
        <v>7</v>
      </c>
      <c r="M714" s="10" t="s">
        <v>4276</v>
      </c>
      <c r="N714" s="3" t="s">
        <v>4280</v>
      </c>
      <c r="O714" s="7">
        <v>136.80000000000001</v>
      </c>
      <c r="P714" s="3">
        <f t="shared" si="22"/>
        <v>136.80000000000001</v>
      </c>
    </row>
    <row r="715" spans="1:16" x14ac:dyDescent="0.35">
      <c r="A715" t="s">
        <v>727</v>
      </c>
      <c r="B715" s="5">
        <v>45829</v>
      </c>
      <c r="C715" t="s">
        <v>1924</v>
      </c>
      <c r="E715" t="s">
        <v>2405</v>
      </c>
      <c r="F715">
        <v>4</v>
      </c>
      <c r="G715" s="7">
        <v>532.49</v>
      </c>
      <c r="H715" s="3" t="s">
        <v>2873</v>
      </c>
      <c r="I715" s="3" t="s">
        <v>3066</v>
      </c>
      <c r="J715" s="3" t="s">
        <v>3071</v>
      </c>
      <c r="K715" s="3" t="s">
        <v>3788</v>
      </c>
      <c r="L715" s="3">
        <v>6</v>
      </c>
      <c r="M715" s="10" t="s">
        <v>4275</v>
      </c>
      <c r="N715" s="3" t="s">
        <v>4281</v>
      </c>
      <c r="O715" s="7">
        <v>2129.96</v>
      </c>
      <c r="P715" s="3">
        <f t="shared" si="22"/>
        <v>2129.96</v>
      </c>
    </row>
    <row r="716" spans="1:16" x14ac:dyDescent="0.35">
      <c r="A716" t="s">
        <v>728</v>
      </c>
      <c r="B716" s="5">
        <v>45037</v>
      </c>
      <c r="C716" t="s">
        <v>1925</v>
      </c>
      <c r="E716" t="s">
        <v>2408</v>
      </c>
      <c r="F716">
        <v>1</v>
      </c>
      <c r="G716" s="7">
        <v>51.73</v>
      </c>
      <c r="H716" s="3" t="s">
        <v>2660</v>
      </c>
      <c r="I716" s="3" t="s">
        <v>3065</v>
      </c>
      <c r="J716" s="3" t="s">
        <v>3074</v>
      </c>
      <c r="K716" s="3" t="s">
        <v>3789</v>
      </c>
      <c r="L716" s="3">
        <v>1</v>
      </c>
      <c r="M716" s="10" t="s">
        <v>4276</v>
      </c>
      <c r="N716" s="3" t="s">
        <v>4281</v>
      </c>
      <c r="O716" s="7">
        <v>51.73</v>
      </c>
      <c r="P716" s="3">
        <f t="shared" si="22"/>
        <v>51.73</v>
      </c>
    </row>
    <row r="717" spans="1:16" x14ac:dyDescent="0.35">
      <c r="A717" t="s">
        <v>729</v>
      </c>
      <c r="B717" s="5">
        <v>45499</v>
      </c>
      <c r="C717" t="s">
        <v>1926</v>
      </c>
      <c r="E717" t="s">
        <v>2407</v>
      </c>
      <c r="F717">
        <v>3</v>
      </c>
      <c r="G717" s="7">
        <v>653.63</v>
      </c>
      <c r="H717" s="3" t="s">
        <v>2888</v>
      </c>
      <c r="I717" s="3" t="s">
        <v>3066</v>
      </c>
      <c r="J717" s="3" t="s">
        <v>3073</v>
      </c>
      <c r="K717" s="3" t="s">
        <v>3790</v>
      </c>
      <c r="L717" s="3">
        <v>7</v>
      </c>
      <c r="M717" s="10" t="s">
        <v>4276</v>
      </c>
      <c r="N717" s="3" t="s">
        <v>4280</v>
      </c>
      <c r="O717" s="7">
        <v>1960.89</v>
      </c>
      <c r="P717" s="3">
        <f t="shared" si="22"/>
        <v>1960.8899999999999</v>
      </c>
    </row>
    <row r="718" spans="1:16" x14ac:dyDescent="0.35">
      <c r="A718" t="s">
        <v>730</v>
      </c>
      <c r="B718" s="5">
        <v>45456</v>
      </c>
      <c r="C718" t="s">
        <v>1927</v>
      </c>
      <c r="E718" t="s">
        <v>2406</v>
      </c>
      <c r="F718">
        <v>3</v>
      </c>
      <c r="G718" s="7">
        <v>454.29</v>
      </c>
      <c r="H718" s="3" t="s">
        <v>2428</v>
      </c>
      <c r="I718" s="3" t="s">
        <v>3067</v>
      </c>
      <c r="J718" s="3" t="s">
        <v>3074</v>
      </c>
      <c r="K718" s="3" t="s">
        <v>3791</v>
      </c>
      <c r="L718" s="3">
        <v>4</v>
      </c>
      <c r="M718" s="10" t="s">
        <v>4277</v>
      </c>
      <c r="N718" s="3" t="s">
        <v>4282</v>
      </c>
      <c r="O718" s="7">
        <v>1362.87</v>
      </c>
      <c r="P718" s="3">
        <f t="shared" si="22"/>
        <v>1362.8700000000001</v>
      </c>
    </row>
    <row r="719" spans="1:16" x14ac:dyDescent="0.35">
      <c r="A719" t="s">
        <v>731</v>
      </c>
      <c r="B719" s="5">
        <v>45215</v>
      </c>
      <c r="C719" t="s">
        <v>1928</v>
      </c>
      <c r="E719" t="s">
        <v>2406</v>
      </c>
      <c r="F719">
        <v>3</v>
      </c>
      <c r="G719" s="7">
        <v>122.11</v>
      </c>
      <c r="H719" s="3" t="s">
        <v>2889</v>
      </c>
      <c r="I719" s="3" t="s">
        <v>3066</v>
      </c>
      <c r="J719" s="3" t="s">
        <v>3073</v>
      </c>
      <c r="K719" s="3" t="s">
        <v>3792</v>
      </c>
      <c r="L719" s="3">
        <v>4</v>
      </c>
      <c r="M719" s="10" t="s">
        <v>4277</v>
      </c>
      <c r="N719" s="3" t="s">
        <v>4280</v>
      </c>
      <c r="O719" s="7">
        <v>366.33</v>
      </c>
      <c r="P719" s="3">
        <f t="shared" si="22"/>
        <v>366.33</v>
      </c>
    </row>
    <row r="720" spans="1:16" x14ac:dyDescent="0.35">
      <c r="A720" t="s">
        <v>732</v>
      </c>
      <c r="B720" s="5">
        <v>45024</v>
      </c>
      <c r="C720" t="s">
        <v>1929</v>
      </c>
      <c r="E720" t="s">
        <v>2408</v>
      </c>
      <c r="F720">
        <v>4</v>
      </c>
      <c r="G720" s="7">
        <v>64.739999999999995</v>
      </c>
      <c r="H720" s="3" t="s">
        <v>2890</v>
      </c>
      <c r="I720" s="3" t="s">
        <v>3068</v>
      </c>
      <c r="J720" s="3" t="s">
        <v>3071</v>
      </c>
      <c r="K720" s="3" t="s">
        <v>3793</v>
      </c>
      <c r="L720" s="3">
        <v>8</v>
      </c>
      <c r="M720" s="10" t="s">
        <v>4275</v>
      </c>
      <c r="N720" s="3" t="s">
        <v>4282</v>
      </c>
      <c r="O720" s="7">
        <v>258.95999999999998</v>
      </c>
      <c r="P720" s="3">
        <f t="shared" si="22"/>
        <v>258.95999999999998</v>
      </c>
    </row>
    <row r="721" spans="1:16" x14ac:dyDescent="0.35">
      <c r="A721" t="s">
        <v>733</v>
      </c>
      <c r="B721" s="5">
        <v>45312</v>
      </c>
      <c r="C721" t="s">
        <v>1930</v>
      </c>
      <c r="E721" t="s">
        <v>2408</v>
      </c>
      <c r="F721">
        <v>2</v>
      </c>
      <c r="G721" s="7">
        <v>681.06</v>
      </c>
      <c r="H721" s="3" t="s">
        <v>2891</v>
      </c>
      <c r="I721" s="3" t="s">
        <v>3065</v>
      </c>
      <c r="J721" s="3" t="s">
        <v>3070</v>
      </c>
      <c r="K721" s="3" t="s">
        <v>3794</v>
      </c>
      <c r="L721" s="3">
        <v>3</v>
      </c>
      <c r="M721" s="10" t="s">
        <v>4276</v>
      </c>
      <c r="N721" s="3" t="s">
        <v>4281</v>
      </c>
      <c r="O721" s="7">
        <v>1362.12</v>
      </c>
      <c r="P721" s="3">
        <f t="shared" si="22"/>
        <v>1362.12</v>
      </c>
    </row>
    <row r="722" spans="1:16" x14ac:dyDescent="0.35">
      <c r="A722" t="s">
        <v>734</v>
      </c>
      <c r="B722" s="5">
        <v>45190</v>
      </c>
      <c r="C722" t="s">
        <v>1931</v>
      </c>
      <c r="E722" t="s">
        <v>2409</v>
      </c>
      <c r="F722">
        <v>5</v>
      </c>
      <c r="G722" s="7">
        <v>128.94999999999999</v>
      </c>
      <c r="H722" s="3" t="s">
        <v>2892</v>
      </c>
      <c r="I722" s="3" t="s">
        <v>3069</v>
      </c>
      <c r="J722" s="3" t="s">
        <v>3074</v>
      </c>
      <c r="K722" s="3" t="s">
        <v>3795</v>
      </c>
      <c r="L722" s="3">
        <v>10</v>
      </c>
      <c r="M722" s="10" t="s">
        <v>4276</v>
      </c>
      <c r="N722" s="3" t="s">
        <v>4278</v>
      </c>
      <c r="O722" s="7">
        <v>644.75</v>
      </c>
      <c r="P722" s="3">
        <f t="shared" si="22"/>
        <v>644.75</v>
      </c>
    </row>
    <row r="723" spans="1:16" x14ac:dyDescent="0.35">
      <c r="A723" t="s">
        <v>735</v>
      </c>
      <c r="B723" s="5">
        <v>45369</v>
      </c>
      <c r="C723" t="s">
        <v>1932</v>
      </c>
      <c r="E723" t="s">
        <v>2409</v>
      </c>
      <c r="F723">
        <v>2</v>
      </c>
      <c r="G723" s="7">
        <v>118.59</v>
      </c>
      <c r="H723" s="3" t="s">
        <v>2893</v>
      </c>
      <c r="I723" s="3" t="s">
        <v>3067</v>
      </c>
      <c r="J723" s="3" t="s">
        <v>3073</v>
      </c>
      <c r="K723" s="3" t="s">
        <v>3796</v>
      </c>
      <c r="L723" s="3">
        <v>2</v>
      </c>
      <c r="N723" s="3" t="s">
        <v>4280</v>
      </c>
      <c r="O723" s="7">
        <v>237.18</v>
      </c>
      <c r="P723" s="3">
        <f t="shared" si="22"/>
        <v>237.18</v>
      </c>
    </row>
    <row r="724" spans="1:16" x14ac:dyDescent="0.35">
      <c r="A724" t="s">
        <v>736</v>
      </c>
      <c r="B724" s="5">
        <v>45611</v>
      </c>
      <c r="C724" t="s">
        <v>1933</v>
      </c>
      <c r="E724" t="s">
        <v>2407</v>
      </c>
      <c r="F724">
        <v>1</v>
      </c>
      <c r="G724" s="7">
        <v>95.1</v>
      </c>
      <c r="H724" s="3" t="s">
        <v>2654</v>
      </c>
      <c r="I724" s="3" t="s">
        <v>3068</v>
      </c>
      <c r="J724" s="3" t="s">
        <v>3074</v>
      </c>
      <c r="K724" s="3" t="s">
        <v>3797</v>
      </c>
      <c r="L724" s="3">
        <v>1</v>
      </c>
      <c r="M724" s="10" t="s">
        <v>4277</v>
      </c>
      <c r="N724" s="3" t="s">
        <v>4278</v>
      </c>
      <c r="O724" s="7">
        <v>95.1</v>
      </c>
      <c r="P724" s="3">
        <f t="shared" si="22"/>
        <v>95.1</v>
      </c>
    </row>
    <row r="725" spans="1:16" x14ac:dyDescent="0.35">
      <c r="A725" t="s">
        <v>737</v>
      </c>
      <c r="B725" s="5">
        <v>45269</v>
      </c>
      <c r="C725" t="s">
        <v>1934</v>
      </c>
      <c r="E725" t="s">
        <v>2409</v>
      </c>
      <c r="F725">
        <v>3</v>
      </c>
      <c r="G725" s="7">
        <v>54.95</v>
      </c>
      <c r="H725" s="3" t="s">
        <v>2471</v>
      </c>
      <c r="I725" s="3" t="s">
        <v>3069</v>
      </c>
      <c r="J725" s="3" t="s">
        <v>3072</v>
      </c>
      <c r="K725" s="3" t="s">
        <v>3798</v>
      </c>
      <c r="L725" s="3">
        <v>8</v>
      </c>
      <c r="M725" s="10" t="s">
        <v>4275</v>
      </c>
      <c r="N725" s="3" t="s">
        <v>4279</v>
      </c>
      <c r="O725" s="7">
        <v>164.85</v>
      </c>
      <c r="P725" s="3">
        <f t="shared" si="22"/>
        <v>164.85000000000002</v>
      </c>
    </row>
    <row r="726" spans="1:16" x14ac:dyDescent="0.35">
      <c r="A726" t="s">
        <v>738</v>
      </c>
      <c r="B726" s="5">
        <v>45583</v>
      </c>
      <c r="C726" t="s">
        <v>1935</v>
      </c>
      <c r="E726" t="s">
        <v>2407</v>
      </c>
      <c r="F726">
        <v>3</v>
      </c>
      <c r="G726" s="7">
        <v>136.97</v>
      </c>
      <c r="H726" s="3" t="s">
        <v>2667</v>
      </c>
      <c r="I726" s="3" t="s">
        <v>3067</v>
      </c>
      <c r="J726" s="3" t="s">
        <v>3072</v>
      </c>
      <c r="K726" s="3" t="s">
        <v>3799</v>
      </c>
      <c r="L726" s="3">
        <v>4</v>
      </c>
      <c r="M726" s="10" t="s">
        <v>4276</v>
      </c>
      <c r="N726" s="3" t="s">
        <v>4279</v>
      </c>
      <c r="O726" s="7">
        <v>410.91</v>
      </c>
      <c r="P726" s="3">
        <f t="shared" si="22"/>
        <v>410.90999999999997</v>
      </c>
    </row>
    <row r="727" spans="1:16" x14ac:dyDescent="0.35">
      <c r="A727" t="s">
        <v>739</v>
      </c>
      <c r="B727" s="5">
        <v>44997</v>
      </c>
      <c r="C727" t="s">
        <v>1936</v>
      </c>
      <c r="E727" t="s">
        <v>2406</v>
      </c>
      <c r="F727">
        <v>2</v>
      </c>
      <c r="G727" s="7">
        <v>194.85</v>
      </c>
      <c r="H727" s="3" t="s">
        <v>2787</v>
      </c>
      <c r="I727" s="3" t="s">
        <v>3068</v>
      </c>
      <c r="J727" s="3" t="s">
        <v>3072</v>
      </c>
      <c r="K727" s="3" t="s">
        <v>3800</v>
      </c>
      <c r="L727" s="3">
        <v>5</v>
      </c>
      <c r="N727" s="3" t="s">
        <v>4279</v>
      </c>
      <c r="O727" s="7">
        <v>389.7</v>
      </c>
      <c r="P727" s="3">
        <f t="shared" si="22"/>
        <v>389.7</v>
      </c>
    </row>
    <row r="728" spans="1:16" x14ac:dyDescent="0.35">
      <c r="A728" t="s">
        <v>740</v>
      </c>
      <c r="B728" s="5">
        <v>45590</v>
      </c>
      <c r="C728" t="s">
        <v>1937</v>
      </c>
      <c r="E728" t="s">
        <v>2408</v>
      </c>
      <c r="F728">
        <v>4</v>
      </c>
      <c r="G728" s="7">
        <v>583.02</v>
      </c>
      <c r="H728" s="3" t="s">
        <v>2894</v>
      </c>
      <c r="I728" s="3" t="s">
        <v>3066</v>
      </c>
      <c r="J728" s="3" t="s">
        <v>3073</v>
      </c>
      <c r="K728" s="3" t="s">
        <v>3801</v>
      </c>
      <c r="L728" s="3">
        <v>4</v>
      </c>
      <c r="M728" s="10" t="s">
        <v>4276</v>
      </c>
      <c r="N728" s="3" t="s">
        <v>4281</v>
      </c>
      <c r="O728" s="7">
        <v>2332.08</v>
      </c>
      <c r="P728" s="3">
        <f t="shared" si="22"/>
        <v>2332.08</v>
      </c>
    </row>
    <row r="729" spans="1:16" x14ac:dyDescent="0.35">
      <c r="A729" t="s">
        <v>741</v>
      </c>
      <c r="B729" s="5">
        <v>45564</v>
      </c>
      <c r="C729" t="s">
        <v>1938</v>
      </c>
      <c r="E729" t="s">
        <v>2406</v>
      </c>
      <c r="F729">
        <v>5</v>
      </c>
      <c r="G729" s="7">
        <v>95.75</v>
      </c>
      <c r="H729" s="3" t="s">
        <v>2748</v>
      </c>
      <c r="I729" s="3" t="s">
        <v>3066</v>
      </c>
      <c r="J729" s="3" t="s">
        <v>3070</v>
      </c>
      <c r="K729" s="3" t="s">
        <v>3802</v>
      </c>
      <c r="L729" s="3">
        <v>8</v>
      </c>
      <c r="M729" s="10" t="s">
        <v>4275</v>
      </c>
      <c r="N729" s="3" t="s">
        <v>4278</v>
      </c>
      <c r="O729" s="7">
        <v>478.75</v>
      </c>
      <c r="P729" s="3">
        <f t="shared" si="22"/>
        <v>478.75</v>
      </c>
    </row>
    <row r="730" spans="1:16" x14ac:dyDescent="0.35">
      <c r="A730" t="s">
        <v>742</v>
      </c>
      <c r="B730" s="5">
        <v>45502</v>
      </c>
      <c r="C730" t="s">
        <v>1939</v>
      </c>
      <c r="E730" t="s">
        <v>2409</v>
      </c>
      <c r="F730">
        <v>4</v>
      </c>
      <c r="G730" s="7">
        <v>325.76</v>
      </c>
      <c r="H730" s="3" t="s">
        <v>2895</v>
      </c>
      <c r="I730" s="3" t="s">
        <v>3068</v>
      </c>
      <c r="J730" s="3" t="s">
        <v>3070</v>
      </c>
      <c r="K730" s="3" t="s">
        <v>3803</v>
      </c>
      <c r="L730" s="3">
        <v>8</v>
      </c>
      <c r="M730" s="10" t="s">
        <v>4277</v>
      </c>
      <c r="N730" s="3" t="s">
        <v>4280</v>
      </c>
      <c r="O730" s="7">
        <v>1303.04</v>
      </c>
      <c r="P730" s="3">
        <f t="shared" si="22"/>
        <v>1303.04</v>
      </c>
    </row>
    <row r="731" spans="1:16" x14ac:dyDescent="0.35">
      <c r="A731" t="s">
        <v>743</v>
      </c>
      <c r="B731" s="5">
        <v>45177</v>
      </c>
      <c r="C731" t="s">
        <v>1940</v>
      </c>
      <c r="E731" t="s">
        <v>2404</v>
      </c>
      <c r="F731">
        <v>4</v>
      </c>
      <c r="G731" s="7">
        <v>186.41</v>
      </c>
      <c r="H731" s="3" t="s">
        <v>2555</v>
      </c>
      <c r="I731" s="3" t="s">
        <v>3068</v>
      </c>
      <c r="J731" s="3" t="s">
        <v>3074</v>
      </c>
      <c r="K731" s="3" t="s">
        <v>3804</v>
      </c>
      <c r="L731" s="3">
        <v>6</v>
      </c>
      <c r="M731" s="10" t="s">
        <v>4275</v>
      </c>
      <c r="N731" s="3" t="s">
        <v>4282</v>
      </c>
      <c r="O731" s="7">
        <v>745.64</v>
      </c>
      <c r="P731" s="3">
        <f t="shared" si="22"/>
        <v>745.64</v>
      </c>
    </row>
    <row r="732" spans="1:16" x14ac:dyDescent="0.35">
      <c r="A732" t="s">
        <v>744</v>
      </c>
      <c r="B732" s="5">
        <v>45710</v>
      </c>
      <c r="C732" t="s">
        <v>1941</v>
      </c>
      <c r="E732" t="s">
        <v>2404</v>
      </c>
      <c r="F732">
        <v>1</v>
      </c>
      <c r="G732" s="7">
        <v>474.6</v>
      </c>
      <c r="H732" s="3" t="s">
        <v>2618</v>
      </c>
      <c r="I732" s="3" t="s">
        <v>3065</v>
      </c>
      <c r="J732" s="3" t="s">
        <v>3073</v>
      </c>
      <c r="K732" s="3" t="s">
        <v>3805</v>
      </c>
      <c r="L732" s="3">
        <v>4</v>
      </c>
      <c r="M732" s="10" t="s">
        <v>4275</v>
      </c>
      <c r="N732" s="3" t="s">
        <v>4280</v>
      </c>
      <c r="O732" s="7">
        <v>474.6</v>
      </c>
      <c r="P732" s="3">
        <f t="shared" si="22"/>
        <v>474.6</v>
      </c>
    </row>
    <row r="733" spans="1:16" x14ac:dyDescent="0.35">
      <c r="A733" t="s">
        <v>745</v>
      </c>
      <c r="B733" s="5">
        <v>45450</v>
      </c>
      <c r="C733" t="s">
        <v>1942</v>
      </c>
      <c r="E733" t="s">
        <v>2407</v>
      </c>
      <c r="F733">
        <v>5</v>
      </c>
      <c r="G733" s="7">
        <v>584.46</v>
      </c>
      <c r="H733" s="3" t="s">
        <v>2896</v>
      </c>
      <c r="I733" s="3" t="s">
        <v>3067</v>
      </c>
      <c r="J733" s="3" t="s">
        <v>3072</v>
      </c>
      <c r="K733" s="3" t="s">
        <v>3806</v>
      </c>
      <c r="L733" s="3">
        <v>8</v>
      </c>
      <c r="N733" s="3" t="s">
        <v>4280</v>
      </c>
      <c r="O733" s="7">
        <v>2922.3</v>
      </c>
      <c r="P733" s="3">
        <f t="shared" si="22"/>
        <v>2922.3</v>
      </c>
    </row>
    <row r="734" spans="1:16" x14ac:dyDescent="0.35">
      <c r="A734" t="s">
        <v>746</v>
      </c>
      <c r="B734" s="5">
        <v>45723</v>
      </c>
      <c r="C734" t="s">
        <v>1943</v>
      </c>
      <c r="E734" t="s">
        <v>2408</v>
      </c>
      <c r="F734">
        <v>1</v>
      </c>
      <c r="G734" s="7">
        <v>132.05000000000001</v>
      </c>
      <c r="H734" s="3" t="s">
        <v>2876</v>
      </c>
      <c r="I734" s="3" t="s">
        <v>3066</v>
      </c>
      <c r="J734" s="3" t="s">
        <v>3073</v>
      </c>
      <c r="K734" s="3" t="s">
        <v>3807</v>
      </c>
      <c r="L734" s="3">
        <v>2</v>
      </c>
      <c r="N734" s="3" t="s">
        <v>4282</v>
      </c>
      <c r="O734" s="7">
        <v>132.05000000000001</v>
      </c>
      <c r="P734" s="3">
        <f t="shared" si="22"/>
        <v>132.05000000000001</v>
      </c>
    </row>
    <row r="735" spans="1:16" x14ac:dyDescent="0.35">
      <c r="A735" t="s">
        <v>747</v>
      </c>
      <c r="B735" s="5">
        <v>45264</v>
      </c>
      <c r="C735" t="s">
        <v>1944</v>
      </c>
      <c r="E735" t="s">
        <v>2405</v>
      </c>
      <c r="F735">
        <v>4</v>
      </c>
      <c r="G735" s="7">
        <v>494.84</v>
      </c>
      <c r="H735" s="3" t="s">
        <v>2869</v>
      </c>
      <c r="I735" s="3" t="s">
        <v>3069</v>
      </c>
      <c r="J735" s="3" t="s">
        <v>3072</v>
      </c>
      <c r="K735" s="3" t="s">
        <v>3808</v>
      </c>
      <c r="L735" s="3">
        <v>8</v>
      </c>
      <c r="M735" s="10" t="s">
        <v>4275</v>
      </c>
      <c r="N735" s="3" t="s">
        <v>4280</v>
      </c>
      <c r="O735" s="7">
        <v>1979.36</v>
      </c>
      <c r="P735" s="3">
        <f t="shared" si="22"/>
        <v>1979.36</v>
      </c>
    </row>
    <row r="736" spans="1:16" x14ac:dyDescent="0.35">
      <c r="A736" t="s">
        <v>748</v>
      </c>
      <c r="B736" s="5">
        <v>45314</v>
      </c>
      <c r="C736" t="s">
        <v>1945</v>
      </c>
      <c r="E736" t="s">
        <v>2407</v>
      </c>
      <c r="F736">
        <v>4</v>
      </c>
      <c r="G736" s="7">
        <v>224.61</v>
      </c>
      <c r="H736" s="3" t="s">
        <v>2655</v>
      </c>
      <c r="I736" s="3" t="s">
        <v>3067</v>
      </c>
      <c r="J736" s="3" t="s">
        <v>3072</v>
      </c>
      <c r="K736" s="3" t="s">
        <v>3809</v>
      </c>
      <c r="L736" s="3">
        <v>6</v>
      </c>
      <c r="M736" s="10" t="s">
        <v>4277</v>
      </c>
      <c r="N736" s="3" t="s">
        <v>4281</v>
      </c>
      <c r="O736" s="7">
        <v>898.44</v>
      </c>
      <c r="P736" s="3">
        <f t="shared" si="22"/>
        <v>898.44</v>
      </c>
    </row>
    <row r="737" spans="1:16" x14ac:dyDescent="0.35">
      <c r="A737" t="s">
        <v>749</v>
      </c>
      <c r="B737" s="5">
        <v>45471</v>
      </c>
      <c r="C737" t="s">
        <v>1946</v>
      </c>
      <c r="E737" t="s">
        <v>2403</v>
      </c>
      <c r="F737">
        <v>4</v>
      </c>
      <c r="G737" s="7">
        <v>44.07</v>
      </c>
      <c r="H737" s="3" t="s">
        <v>2729</v>
      </c>
      <c r="I737" s="3" t="s">
        <v>3065</v>
      </c>
      <c r="J737" s="3" t="s">
        <v>3074</v>
      </c>
      <c r="K737" s="3" t="s">
        <v>3810</v>
      </c>
      <c r="L737" s="3">
        <v>6</v>
      </c>
      <c r="N737" s="3" t="s">
        <v>4280</v>
      </c>
      <c r="O737" s="7">
        <v>176.28</v>
      </c>
      <c r="P737" s="3">
        <f t="shared" si="22"/>
        <v>176.28</v>
      </c>
    </row>
    <row r="738" spans="1:16" x14ac:dyDescent="0.35">
      <c r="A738" t="s">
        <v>750</v>
      </c>
      <c r="B738" s="5">
        <v>45331</v>
      </c>
      <c r="C738" t="s">
        <v>1947</v>
      </c>
      <c r="E738" t="s">
        <v>2403</v>
      </c>
      <c r="F738">
        <v>5</v>
      </c>
      <c r="G738" s="7">
        <v>418.53</v>
      </c>
      <c r="H738" s="3" t="s">
        <v>2796</v>
      </c>
      <c r="I738" s="3" t="s">
        <v>3067</v>
      </c>
      <c r="J738" s="3" t="s">
        <v>3074</v>
      </c>
      <c r="K738" s="3" t="s">
        <v>3811</v>
      </c>
      <c r="L738" s="3">
        <v>6</v>
      </c>
      <c r="M738" s="10" t="s">
        <v>4276</v>
      </c>
      <c r="N738" s="3" t="s">
        <v>4282</v>
      </c>
      <c r="O738" s="7">
        <v>2092.65</v>
      </c>
      <c r="P738" s="3">
        <f t="shared" si="22"/>
        <v>2092.6499999999996</v>
      </c>
    </row>
    <row r="739" spans="1:16" x14ac:dyDescent="0.35">
      <c r="A739" t="s">
        <v>751</v>
      </c>
      <c r="B739" s="5">
        <v>45294</v>
      </c>
      <c r="C739" t="s">
        <v>1948</v>
      </c>
      <c r="E739" t="s">
        <v>2404</v>
      </c>
      <c r="F739">
        <v>4</v>
      </c>
      <c r="G739" s="7">
        <v>532.87</v>
      </c>
      <c r="H739" s="3" t="s">
        <v>2897</v>
      </c>
      <c r="I739" s="3" t="s">
        <v>3069</v>
      </c>
      <c r="J739" s="3" t="s">
        <v>3074</v>
      </c>
      <c r="K739" s="3" t="s">
        <v>3812</v>
      </c>
      <c r="L739" s="3">
        <v>9</v>
      </c>
      <c r="M739" s="10" t="s">
        <v>4276</v>
      </c>
      <c r="N739" s="3" t="s">
        <v>4278</v>
      </c>
      <c r="O739" s="7">
        <v>2131.48</v>
      </c>
      <c r="P739" s="3">
        <f t="shared" si="22"/>
        <v>2131.48</v>
      </c>
    </row>
    <row r="740" spans="1:16" x14ac:dyDescent="0.35">
      <c r="A740" t="s">
        <v>752</v>
      </c>
      <c r="B740" s="5">
        <v>45812</v>
      </c>
      <c r="C740" t="s">
        <v>1949</v>
      </c>
      <c r="E740" t="s">
        <v>2404</v>
      </c>
      <c r="F740">
        <v>2</v>
      </c>
      <c r="G740" s="7">
        <v>485.37</v>
      </c>
      <c r="H740" s="3" t="s">
        <v>2898</v>
      </c>
      <c r="I740" s="3" t="s">
        <v>3067</v>
      </c>
      <c r="J740" s="3" t="s">
        <v>3070</v>
      </c>
      <c r="K740" s="3" t="s">
        <v>3813</v>
      </c>
      <c r="L740" s="3">
        <v>5</v>
      </c>
      <c r="M740" s="10" t="s">
        <v>4275</v>
      </c>
      <c r="N740" s="3" t="s">
        <v>4280</v>
      </c>
      <c r="O740" s="7">
        <v>970.74</v>
      </c>
      <c r="P740" s="3">
        <f t="shared" si="22"/>
        <v>970.74</v>
      </c>
    </row>
    <row r="741" spans="1:16" x14ac:dyDescent="0.35">
      <c r="A741" t="s">
        <v>753</v>
      </c>
      <c r="B741" s="5">
        <v>45456</v>
      </c>
      <c r="C741" t="s">
        <v>1950</v>
      </c>
      <c r="E741" t="s">
        <v>2404</v>
      </c>
      <c r="F741">
        <v>4</v>
      </c>
      <c r="G741" s="7">
        <v>386.73</v>
      </c>
      <c r="H741" s="3" t="s">
        <v>2532</v>
      </c>
      <c r="I741" s="3" t="s">
        <v>3069</v>
      </c>
      <c r="J741" s="3" t="s">
        <v>3073</v>
      </c>
      <c r="K741" s="3" t="s">
        <v>3814</v>
      </c>
      <c r="L741" s="3">
        <v>4</v>
      </c>
      <c r="M741" s="10" t="s">
        <v>4275</v>
      </c>
      <c r="N741" s="3" t="s">
        <v>4281</v>
      </c>
      <c r="O741" s="7">
        <v>1546.92</v>
      </c>
      <c r="P741" s="3">
        <f t="shared" si="22"/>
        <v>1546.92</v>
      </c>
    </row>
    <row r="742" spans="1:16" x14ac:dyDescent="0.35">
      <c r="A742" t="s">
        <v>754</v>
      </c>
      <c r="B742" s="5">
        <v>45493</v>
      </c>
      <c r="C742" t="s">
        <v>1951</v>
      </c>
      <c r="E742" t="s">
        <v>2409</v>
      </c>
      <c r="F742">
        <v>2</v>
      </c>
      <c r="G742" s="7">
        <v>377.47</v>
      </c>
      <c r="H742" s="3" t="s">
        <v>2749</v>
      </c>
      <c r="I742" s="3" t="s">
        <v>3069</v>
      </c>
      <c r="J742" s="3" t="s">
        <v>3074</v>
      </c>
      <c r="K742" s="3" t="s">
        <v>3815</v>
      </c>
      <c r="L742" s="3">
        <v>7</v>
      </c>
      <c r="N742" s="3" t="s">
        <v>4282</v>
      </c>
      <c r="O742" s="7">
        <v>754.94</v>
      </c>
      <c r="P742" s="3">
        <f t="shared" si="22"/>
        <v>754.94</v>
      </c>
    </row>
    <row r="743" spans="1:16" x14ac:dyDescent="0.35">
      <c r="A743" t="s">
        <v>755</v>
      </c>
      <c r="B743" s="5">
        <v>45680</v>
      </c>
      <c r="C743" t="s">
        <v>1952</v>
      </c>
      <c r="E743" t="s">
        <v>2403</v>
      </c>
      <c r="F743">
        <v>5</v>
      </c>
      <c r="G743" s="7">
        <v>332.64</v>
      </c>
      <c r="H743" s="3" t="s">
        <v>2899</v>
      </c>
      <c r="I743" s="3" t="s">
        <v>3068</v>
      </c>
      <c r="J743" s="3" t="s">
        <v>3073</v>
      </c>
      <c r="K743" s="3" t="s">
        <v>3816</v>
      </c>
      <c r="L743" s="3">
        <v>10</v>
      </c>
      <c r="N743" s="3" t="s">
        <v>4279</v>
      </c>
      <c r="O743" s="7">
        <v>1663.2</v>
      </c>
      <c r="P743" s="3">
        <f t="shared" si="22"/>
        <v>1663.1999999999998</v>
      </c>
    </row>
    <row r="744" spans="1:16" x14ac:dyDescent="0.35">
      <c r="A744" t="s">
        <v>756</v>
      </c>
      <c r="B744" s="5">
        <v>45626</v>
      </c>
      <c r="C744" t="s">
        <v>1953</v>
      </c>
      <c r="E744" t="s">
        <v>2408</v>
      </c>
      <c r="F744">
        <v>3</v>
      </c>
      <c r="G744" s="7">
        <v>699.93</v>
      </c>
      <c r="H744" s="3" t="s">
        <v>2664</v>
      </c>
      <c r="I744" s="3" t="s">
        <v>3069</v>
      </c>
      <c r="J744" s="3" t="s">
        <v>3072</v>
      </c>
      <c r="K744" s="3" t="s">
        <v>3817</v>
      </c>
      <c r="L744" s="3">
        <v>7</v>
      </c>
      <c r="M744" s="10" t="s">
        <v>4275</v>
      </c>
      <c r="N744" s="3" t="s">
        <v>4282</v>
      </c>
      <c r="O744" s="7">
        <v>2099.79</v>
      </c>
      <c r="P744" s="3">
        <f t="shared" si="22"/>
        <v>2099.79</v>
      </c>
    </row>
    <row r="745" spans="1:16" x14ac:dyDescent="0.35">
      <c r="A745" t="s">
        <v>757</v>
      </c>
      <c r="B745" s="5">
        <v>45565</v>
      </c>
      <c r="C745" t="s">
        <v>1954</v>
      </c>
      <c r="E745" t="s">
        <v>2403</v>
      </c>
      <c r="F745">
        <v>1</v>
      </c>
      <c r="G745" s="7">
        <v>576.35</v>
      </c>
      <c r="H745" s="3" t="s">
        <v>2448</v>
      </c>
      <c r="I745" s="3" t="s">
        <v>3068</v>
      </c>
      <c r="J745" s="3" t="s">
        <v>3072</v>
      </c>
      <c r="K745" s="3" t="s">
        <v>3818</v>
      </c>
      <c r="L745" s="3">
        <v>1</v>
      </c>
      <c r="M745" s="10" t="s">
        <v>4277</v>
      </c>
      <c r="N745" s="3" t="s">
        <v>4278</v>
      </c>
      <c r="O745" s="7">
        <v>576.35</v>
      </c>
      <c r="P745" s="3">
        <f t="shared" si="22"/>
        <v>576.35</v>
      </c>
    </row>
    <row r="746" spans="1:16" x14ac:dyDescent="0.35">
      <c r="A746" t="s">
        <v>758</v>
      </c>
      <c r="B746" s="5">
        <v>45455</v>
      </c>
      <c r="C746" t="s">
        <v>1955</v>
      </c>
      <c r="E746" t="s">
        <v>2405</v>
      </c>
      <c r="F746">
        <v>2</v>
      </c>
      <c r="G746" s="7">
        <v>461.37</v>
      </c>
      <c r="H746" s="3" t="s">
        <v>2900</v>
      </c>
      <c r="I746" s="3" t="s">
        <v>3069</v>
      </c>
      <c r="J746" s="3" t="s">
        <v>3073</v>
      </c>
      <c r="K746" s="3" t="s">
        <v>3819</v>
      </c>
      <c r="L746" s="3">
        <v>5</v>
      </c>
      <c r="M746" s="10" t="s">
        <v>4275</v>
      </c>
      <c r="N746" s="3" t="s">
        <v>4282</v>
      </c>
      <c r="O746" s="7">
        <v>922.74</v>
      </c>
      <c r="P746" s="3">
        <f t="shared" si="22"/>
        <v>922.74</v>
      </c>
    </row>
    <row r="747" spans="1:16" x14ac:dyDescent="0.35">
      <c r="A747" t="s">
        <v>759</v>
      </c>
      <c r="B747" s="5">
        <v>44987</v>
      </c>
      <c r="C747" t="s">
        <v>1956</v>
      </c>
      <c r="E747" t="s">
        <v>2407</v>
      </c>
      <c r="F747">
        <v>4</v>
      </c>
      <c r="G747" s="7">
        <v>111.3</v>
      </c>
      <c r="H747" s="3" t="s">
        <v>2901</v>
      </c>
      <c r="I747" s="3" t="s">
        <v>3065</v>
      </c>
      <c r="J747" s="3" t="s">
        <v>3074</v>
      </c>
      <c r="K747" s="3" t="s">
        <v>3820</v>
      </c>
      <c r="L747" s="3">
        <v>7</v>
      </c>
      <c r="M747" s="10" t="s">
        <v>4276</v>
      </c>
      <c r="N747" s="3" t="s">
        <v>4280</v>
      </c>
      <c r="O747" s="7">
        <v>445.2</v>
      </c>
      <c r="P747" s="3">
        <f t="shared" si="22"/>
        <v>445.2</v>
      </c>
    </row>
    <row r="748" spans="1:16" x14ac:dyDescent="0.35">
      <c r="A748" t="s">
        <v>760</v>
      </c>
      <c r="B748" s="5">
        <v>45712</v>
      </c>
      <c r="C748" t="s">
        <v>1957</v>
      </c>
      <c r="E748" t="s">
        <v>2409</v>
      </c>
      <c r="F748">
        <v>3</v>
      </c>
      <c r="G748" s="7">
        <v>661.89</v>
      </c>
      <c r="H748" s="3" t="s">
        <v>2902</v>
      </c>
      <c r="I748" s="3" t="s">
        <v>3066</v>
      </c>
      <c r="J748" s="3" t="s">
        <v>3071</v>
      </c>
      <c r="K748" s="3" t="s">
        <v>3821</v>
      </c>
      <c r="L748" s="3">
        <v>6</v>
      </c>
      <c r="M748" s="10" t="s">
        <v>4277</v>
      </c>
      <c r="N748" s="3" t="s">
        <v>4279</v>
      </c>
      <c r="O748" s="7">
        <v>1985.67</v>
      </c>
      <c r="P748" s="3">
        <f t="shared" si="22"/>
        <v>1985.67</v>
      </c>
    </row>
    <row r="749" spans="1:16" x14ac:dyDescent="0.35">
      <c r="A749" t="s">
        <v>761</v>
      </c>
      <c r="B749" s="5">
        <v>45728</v>
      </c>
      <c r="C749" t="s">
        <v>1958</v>
      </c>
      <c r="E749" t="s">
        <v>2405</v>
      </c>
      <c r="F749">
        <v>2</v>
      </c>
      <c r="G749" s="7">
        <v>259.58</v>
      </c>
      <c r="H749" s="3" t="s">
        <v>2903</v>
      </c>
      <c r="I749" s="3" t="s">
        <v>3065</v>
      </c>
      <c r="J749" s="3" t="s">
        <v>3073</v>
      </c>
      <c r="K749" s="3" t="s">
        <v>3822</v>
      </c>
      <c r="L749" s="3">
        <v>7</v>
      </c>
      <c r="M749" s="10" t="s">
        <v>4276</v>
      </c>
      <c r="N749" s="3" t="s">
        <v>4278</v>
      </c>
      <c r="O749" s="7">
        <v>519.16</v>
      </c>
      <c r="P749" s="3">
        <f t="shared" si="22"/>
        <v>519.16</v>
      </c>
    </row>
    <row r="750" spans="1:16" x14ac:dyDescent="0.35">
      <c r="A750" t="s">
        <v>762</v>
      </c>
      <c r="B750" s="5">
        <v>45488</v>
      </c>
      <c r="C750" t="s">
        <v>1959</v>
      </c>
      <c r="E750" t="s">
        <v>2405</v>
      </c>
      <c r="F750">
        <v>3</v>
      </c>
      <c r="G750" s="7">
        <v>70.81</v>
      </c>
      <c r="H750" s="3" t="s">
        <v>2789</v>
      </c>
      <c r="I750" s="3" t="s">
        <v>3067</v>
      </c>
      <c r="J750" s="3" t="s">
        <v>3070</v>
      </c>
      <c r="K750" s="3" t="s">
        <v>3823</v>
      </c>
      <c r="L750" s="3">
        <v>8</v>
      </c>
      <c r="M750" s="10" t="s">
        <v>4276</v>
      </c>
      <c r="N750" s="3" t="s">
        <v>4279</v>
      </c>
      <c r="O750" s="7">
        <v>212.43</v>
      </c>
      <c r="P750" s="3">
        <f t="shared" si="22"/>
        <v>212.43</v>
      </c>
    </row>
    <row r="751" spans="1:16" x14ac:dyDescent="0.35">
      <c r="A751" t="s">
        <v>763</v>
      </c>
      <c r="B751" s="5">
        <v>45760</v>
      </c>
      <c r="C751" t="s">
        <v>1960</v>
      </c>
      <c r="E751" t="s">
        <v>2408</v>
      </c>
      <c r="F751">
        <v>1</v>
      </c>
      <c r="G751" s="7">
        <v>518.39</v>
      </c>
      <c r="H751" s="3" t="s">
        <v>2904</v>
      </c>
      <c r="I751" s="3" t="s">
        <v>3065</v>
      </c>
      <c r="J751" s="3" t="s">
        <v>3074</v>
      </c>
      <c r="K751" s="3" t="s">
        <v>3824</v>
      </c>
      <c r="L751" s="3">
        <v>4</v>
      </c>
      <c r="M751" s="10" t="s">
        <v>4276</v>
      </c>
      <c r="N751" s="3" t="s">
        <v>4278</v>
      </c>
      <c r="O751" s="7">
        <v>518.39</v>
      </c>
      <c r="P751" s="3">
        <f t="shared" si="22"/>
        <v>518.39</v>
      </c>
    </row>
    <row r="752" spans="1:16" x14ac:dyDescent="0.35">
      <c r="A752" t="s">
        <v>764</v>
      </c>
      <c r="B752" s="5">
        <v>44940</v>
      </c>
      <c r="C752" t="s">
        <v>1961</v>
      </c>
      <c r="E752" t="s">
        <v>2405</v>
      </c>
      <c r="F752">
        <v>4</v>
      </c>
      <c r="G752" s="7">
        <v>145.41</v>
      </c>
      <c r="H752" s="3" t="s">
        <v>2905</v>
      </c>
      <c r="I752" s="3" t="s">
        <v>3067</v>
      </c>
      <c r="J752" s="3" t="s">
        <v>3072</v>
      </c>
      <c r="K752" s="3" t="s">
        <v>3825</v>
      </c>
      <c r="L752" s="3">
        <v>7</v>
      </c>
      <c r="M752" s="10" t="s">
        <v>4276</v>
      </c>
      <c r="N752" s="3" t="s">
        <v>4280</v>
      </c>
      <c r="O752" s="7">
        <v>581.64</v>
      </c>
      <c r="P752" s="3">
        <f t="shared" si="22"/>
        <v>581.64</v>
      </c>
    </row>
    <row r="753" spans="1:16" x14ac:dyDescent="0.35">
      <c r="A753" t="s">
        <v>765</v>
      </c>
      <c r="B753" s="5">
        <v>44950</v>
      </c>
      <c r="C753" t="s">
        <v>1962</v>
      </c>
      <c r="E753" t="s">
        <v>2405</v>
      </c>
      <c r="F753">
        <v>2</v>
      </c>
      <c r="G753" s="7">
        <v>599.86</v>
      </c>
      <c r="H753" s="3" t="s">
        <v>2906</v>
      </c>
      <c r="I753" s="3" t="s">
        <v>3068</v>
      </c>
      <c r="J753" s="3" t="s">
        <v>3074</v>
      </c>
      <c r="K753" s="3" t="s">
        <v>3826</v>
      </c>
      <c r="L753" s="3">
        <v>7</v>
      </c>
      <c r="M753" s="10" t="s">
        <v>4276</v>
      </c>
      <c r="N753" s="3" t="s">
        <v>4281</v>
      </c>
      <c r="O753" s="7">
        <v>1199.72</v>
      </c>
      <c r="P753" s="3">
        <f t="shared" si="22"/>
        <v>1199.72</v>
      </c>
    </row>
    <row r="754" spans="1:16" x14ac:dyDescent="0.35">
      <c r="A754" t="s">
        <v>766</v>
      </c>
      <c r="B754" s="5">
        <v>45568</v>
      </c>
      <c r="C754" t="s">
        <v>1963</v>
      </c>
      <c r="E754" t="s">
        <v>2404</v>
      </c>
      <c r="F754">
        <v>4</v>
      </c>
      <c r="G754" s="7">
        <v>429.37</v>
      </c>
      <c r="H754" s="3" t="s">
        <v>2648</v>
      </c>
      <c r="I754" s="3" t="s">
        <v>3067</v>
      </c>
      <c r="J754" s="3" t="s">
        <v>3073</v>
      </c>
      <c r="K754" s="3" t="s">
        <v>3827</v>
      </c>
      <c r="L754" s="3">
        <v>8</v>
      </c>
      <c r="M754" s="10" t="s">
        <v>4276</v>
      </c>
      <c r="N754" s="3" t="s">
        <v>4282</v>
      </c>
      <c r="O754" s="7">
        <v>1717.48</v>
      </c>
      <c r="P754" s="3">
        <f t="shared" si="22"/>
        <v>1717.48</v>
      </c>
    </row>
    <row r="755" spans="1:16" x14ac:dyDescent="0.35">
      <c r="A755" t="s">
        <v>767</v>
      </c>
      <c r="B755" s="5">
        <v>45406</v>
      </c>
      <c r="C755" t="s">
        <v>1964</v>
      </c>
      <c r="E755" t="s">
        <v>2404</v>
      </c>
      <c r="F755">
        <v>2</v>
      </c>
      <c r="G755" s="7">
        <v>241.49</v>
      </c>
      <c r="H755" s="3" t="s">
        <v>2907</v>
      </c>
      <c r="I755" s="3" t="s">
        <v>3065</v>
      </c>
      <c r="J755" s="3" t="s">
        <v>3072</v>
      </c>
      <c r="K755" s="3" t="s">
        <v>3828</v>
      </c>
      <c r="L755" s="3">
        <v>7</v>
      </c>
      <c r="M755" s="10" t="s">
        <v>4276</v>
      </c>
      <c r="N755" s="3" t="s">
        <v>4278</v>
      </c>
      <c r="O755" s="7">
        <v>482.98</v>
      </c>
      <c r="P755" s="3">
        <f t="shared" si="22"/>
        <v>482.98</v>
      </c>
    </row>
    <row r="756" spans="1:16" x14ac:dyDescent="0.35">
      <c r="A756" t="s">
        <v>768</v>
      </c>
      <c r="B756" s="5">
        <v>45808</v>
      </c>
      <c r="C756" t="s">
        <v>1965</v>
      </c>
      <c r="E756" t="s">
        <v>2407</v>
      </c>
      <c r="F756">
        <v>2</v>
      </c>
      <c r="G756" s="7">
        <v>452.05</v>
      </c>
      <c r="H756" s="3" t="s">
        <v>2908</v>
      </c>
      <c r="I756" s="3" t="s">
        <v>3067</v>
      </c>
      <c r="J756" s="3" t="s">
        <v>3072</v>
      </c>
      <c r="K756" s="3" t="s">
        <v>3829</v>
      </c>
      <c r="L756" s="3">
        <v>3</v>
      </c>
      <c r="M756" s="10" t="s">
        <v>4277</v>
      </c>
      <c r="N756" s="3" t="s">
        <v>4280</v>
      </c>
      <c r="O756" s="7">
        <v>904.1</v>
      </c>
      <c r="P756" s="3">
        <f t="shared" si="22"/>
        <v>904.1</v>
      </c>
    </row>
    <row r="757" spans="1:16" x14ac:dyDescent="0.35">
      <c r="A757" t="s">
        <v>769</v>
      </c>
      <c r="B757" s="5">
        <v>45090</v>
      </c>
      <c r="C757" t="s">
        <v>1966</v>
      </c>
      <c r="E757" t="s">
        <v>2409</v>
      </c>
      <c r="F757">
        <v>3</v>
      </c>
      <c r="G757" s="7">
        <v>336.71</v>
      </c>
      <c r="H757" s="3" t="s">
        <v>2909</v>
      </c>
      <c r="I757" s="3" t="s">
        <v>3067</v>
      </c>
      <c r="J757" s="3" t="s">
        <v>3074</v>
      </c>
      <c r="K757" s="3" t="s">
        <v>3830</v>
      </c>
      <c r="L757" s="3">
        <v>4</v>
      </c>
      <c r="N757" s="3" t="s">
        <v>4280</v>
      </c>
      <c r="O757" s="7">
        <v>1010.13</v>
      </c>
      <c r="P757" s="3">
        <f t="shared" si="22"/>
        <v>1010.1299999999999</v>
      </c>
    </row>
    <row r="758" spans="1:16" x14ac:dyDescent="0.35">
      <c r="A758" t="s">
        <v>770</v>
      </c>
      <c r="B758" s="5">
        <v>45470</v>
      </c>
      <c r="C758" t="s">
        <v>1967</v>
      </c>
      <c r="E758" t="s">
        <v>2404</v>
      </c>
      <c r="F758">
        <v>1</v>
      </c>
      <c r="G758" s="7">
        <v>283.69</v>
      </c>
      <c r="H758" s="3" t="s">
        <v>2464</v>
      </c>
      <c r="I758" s="3" t="s">
        <v>3068</v>
      </c>
      <c r="J758" s="3" t="s">
        <v>3070</v>
      </c>
      <c r="K758" s="3" t="s">
        <v>3831</v>
      </c>
      <c r="L758" s="3">
        <v>6</v>
      </c>
      <c r="N758" s="3" t="s">
        <v>4282</v>
      </c>
      <c r="O758" s="7">
        <v>283.69</v>
      </c>
      <c r="P758" s="3">
        <f t="shared" si="22"/>
        <v>283.69</v>
      </c>
    </row>
    <row r="759" spans="1:16" x14ac:dyDescent="0.35">
      <c r="A759" t="s">
        <v>771</v>
      </c>
      <c r="B759" s="5">
        <v>45344</v>
      </c>
      <c r="C759" t="s">
        <v>1968</v>
      </c>
      <c r="E759" t="s">
        <v>2409</v>
      </c>
      <c r="F759">
        <v>1</v>
      </c>
      <c r="G759" s="7">
        <v>157.72</v>
      </c>
      <c r="H759" s="3" t="s">
        <v>2581</v>
      </c>
      <c r="I759" s="3" t="s">
        <v>3065</v>
      </c>
      <c r="J759" s="3" t="s">
        <v>3073</v>
      </c>
      <c r="K759" s="3" t="s">
        <v>3832</v>
      </c>
      <c r="L759" s="3">
        <v>2</v>
      </c>
      <c r="M759" s="10" t="s">
        <v>4276</v>
      </c>
      <c r="N759" s="3" t="s">
        <v>4282</v>
      </c>
      <c r="O759" s="7">
        <v>157.72</v>
      </c>
      <c r="P759" s="3">
        <f t="shared" si="22"/>
        <v>157.72</v>
      </c>
    </row>
    <row r="760" spans="1:16" x14ac:dyDescent="0.35">
      <c r="A760" t="s">
        <v>772</v>
      </c>
      <c r="B760" s="5">
        <v>45011</v>
      </c>
      <c r="C760" t="s">
        <v>1969</v>
      </c>
      <c r="E760" t="s">
        <v>2405</v>
      </c>
      <c r="F760">
        <v>3</v>
      </c>
      <c r="G760" s="7">
        <v>624.84</v>
      </c>
      <c r="H760" s="3" t="s">
        <v>2479</v>
      </c>
      <c r="I760" s="3" t="s">
        <v>3067</v>
      </c>
      <c r="J760" s="3" t="s">
        <v>3071</v>
      </c>
      <c r="K760" s="3" t="s">
        <v>3833</v>
      </c>
      <c r="L760" s="3">
        <v>8</v>
      </c>
      <c r="M760" s="10" t="s">
        <v>4277</v>
      </c>
      <c r="N760" s="3" t="s">
        <v>4281</v>
      </c>
      <c r="O760" s="7">
        <v>1874.52</v>
      </c>
      <c r="P760" s="3">
        <f t="shared" si="22"/>
        <v>1874.52</v>
      </c>
    </row>
    <row r="761" spans="1:16" x14ac:dyDescent="0.35">
      <c r="A761" t="s">
        <v>773</v>
      </c>
      <c r="B761" s="5">
        <v>45131</v>
      </c>
      <c r="C761" t="s">
        <v>1970</v>
      </c>
      <c r="E761" t="s">
        <v>2409</v>
      </c>
      <c r="F761">
        <v>3</v>
      </c>
      <c r="G761" s="7">
        <v>308.01</v>
      </c>
      <c r="H761" s="3" t="s">
        <v>2910</v>
      </c>
      <c r="I761" s="3" t="s">
        <v>3069</v>
      </c>
      <c r="J761" s="3" t="s">
        <v>3074</v>
      </c>
      <c r="K761" s="3" t="s">
        <v>3834</v>
      </c>
      <c r="L761" s="3">
        <v>3</v>
      </c>
      <c r="M761" s="10" t="s">
        <v>4276</v>
      </c>
      <c r="N761" s="3" t="s">
        <v>4281</v>
      </c>
      <c r="O761" s="7">
        <v>924.03</v>
      </c>
      <c r="P761" s="3">
        <f t="shared" si="22"/>
        <v>924.03</v>
      </c>
    </row>
    <row r="762" spans="1:16" x14ac:dyDescent="0.35">
      <c r="A762" t="s">
        <v>774</v>
      </c>
      <c r="B762" s="5">
        <v>45706</v>
      </c>
      <c r="C762" t="s">
        <v>1971</v>
      </c>
      <c r="E762" t="s">
        <v>2409</v>
      </c>
      <c r="F762">
        <v>1</v>
      </c>
      <c r="G762" s="7">
        <v>39.56</v>
      </c>
      <c r="H762" s="3" t="s">
        <v>2570</v>
      </c>
      <c r="I762" s="3" t="s">
        <v>3065</v>
      </c>
      <c r="J762" s="3" t="s">
        <v>3071</v>
      </c>
      <c r="K762" s="3" t="s">
        <v>3835</v>
      </c>
      <c r="L762" s="3">
        <v>5</v>
      </c>
      <c r="N762" s="3" t="s">
        <v>4282</v>
      </c>
      <c r="O762" s="7">
        <v>39.56</v>
      </c>
      <c r="P762" s="3">
        <f t="shared" si="22"/>
        <v>39.56</v>
      </c>
    </row>
    <row r="763" spans="1:16" x14ac:dyDescent="0.35">
      <c r="A763" t="s">
        <v>775</v>
      </c>
      <c r="B763" s="5">
        <v>45079</v>
      </c>
      <c r="C763" t="s">
        <v>1972</v>
      </c>
      <c r="E763" t="s">
        <v>2409</v>
      </c>
      <c r="F763">
        <v>4</v>
      </c>
      <c r="G763" s="7">
        <v>37.76</v>
      </c>
      <c r="H763" s="3" t="s">
        <v>2911</v>
      </c>
      <c r="I763" s="3" t="s">
        <v>3065</v>
      </c>
      <c r="J763" s="3" t="s">
        <v>3073</v>
      </c>
      <c r="K763" s="3" t="s">
        <v>3836</v>
      </c>
      <c r="L763" s="3">
        <v>7</v>
      </c>
      <c r="N763" s="3" t="s">
        <v>4282</v>
      </c>
      <c r="O763" s="7">
        <v>151.04</v>
      </c>
      <c r="P763" s="3">
        <f t="shared" si="22"/>
        <v>151.04</v>
      </c>
    </row>
    <row r="764" spans="1:16" x14ac:dyDescent="0.35">
      <c r="A764" t="s">
        <v>776</v>
      </c>
      <c r="B764" s="5">
        <v>45552</v>
      </c>
      <c r="C764" t="s">
        <v>1973</v>
      </c>
      <c r="E764" t="s">
        <v>2404</v>
      </c>
      <c r="F764">
        <v>3</v>
      </c>
      <c r="G764" s="7">
        <v>76.959999999999994</v>
      </c>
      <c r="H764" s="3" t="s">
        <v>2494</v>
      </c>
      <c r="I764" s="3" t="s">
        <v>3069</v>
      </c>
      <c r="J764" s="3" t="s">
        <v>3072</v>
      </c>
      <c r="K764" s="3" t="s">
        <v>3837</v>
      </c>
      <c r="L764" s="3">
        <v>8</v>
      </c>
      <c r="M764" s="10" t="s">
        <v>4276</v>
      </c>
      <c r="N764" s="3" t="s">
        <v>4280</v>
      </c>
      <c r="O764" s="7">
        <v>230.88</v>
      </c>
      <c r="P764" s="3">
        <f t="shared" si="22"/>
        <v>230.88</v>
      </c>
    </row>
    <row r="765" spans="1:16" x14ac:dyDescent="0.35">
      <c r="A765" t="s">
        <v>777</v>
      </c>
      <c r="B765" s="5">
        <v>45022</v>
      </c>
      <c r="C765" t="s">
        <v>1974</v>
      </c>
      <c r="E765" t="s">
        <v>2408</v>
      </c>
      <c r="F765">
        <v>1</v>
      </c>
      <c r="G765" s="7">
        <v>569.96</v>
      </c>
      <c r="H765" s="3" t="s">
        <v>2501</v>
      </c>
      <c r="I765" s="3" t="s">
        <v>3066</v>
      </c>
      <c r="J765" s="3" t="s">
        <v>3073</v>
      </c>
      <c r="K765" s="3" t="s">
        <v>3838</v>
      </c>
      <c r="L765" s="3">
        <v>4</v>
      </c>
      <c r="M765" s="10" t="s">
        <v>4276</v>
      </c>
      <c r="N765" s="3" t="s">
        <v>4280</v>
      </c>
      <c r="O765" s="7">
        <v>569.96</v>
      </c>
      <c r="P765" s="3">
        <f t="shared" si="22"/>
        <v>569.96</v>
      </c>
    </row>
    <row r="766" spans="1:16" x14ac:dyDescent="0.35">
      <c r="A766" t="s">
        <v>778</v>
      </c>
      <c r="B766" s="5">
        <v>45361</v>
      </c>
      <c r="C766" t="s">
        <v>1975</v>
      </c>
      <c r="E766" t="s">
        <v>2408</v>
      </c>
      <c r="F766">
        <v>5</v>
      </c>
      <c r="G766" s="7">
        <v>627.42999999999995</v>
      </c>
      <c r="H766" s="3" t="s">
        <v>2565</v>
      </c>
      <c r="I766" s="3" t="s">
        <v>3067</v>
      </c>
      <c r="J766" s="3" t="s">
        <v>3071</v>
      </c>
      <c r="K766" s="3" t="s">
        <v>3839</v>
      </c>
      <c r="L766" s="3">
        <v>10</v>
      </c>
      <c r="M766" s="10" t="s">
        <v>4276</v>
      </c>
      <c r="N766" s="3" t="s">
        <v>4280</v>
      </c>
      <c r="O766" s="7">
        <v>3137.15</v>
      </c>
      <c r="P766" s="3">
        <f t="shared" si="22"/>
        <v>3137.1499999999996</v>
      </c>
    </row>
    <row r="767" spans="1:16" x14ac:dyDescent="0.35">
      <c r="A767" t="s">
        <v>779</v>
      </c>
      <c r="B767" s="5">
        <v>45205</v>
      </c>
      <c r="C767" t="s">
        <v>1976</v>
      </c>
      <c r="E767" t="s">
        <v>2408</v>
      </c>
      <c r="F767">
        <v>2</v>
      </c>
      <c r="G767" s="7">
        <v>534.91</v>
      </c>
      <c r="H767" s="3" t="s">
        <v>2888</v>
      </c>
      <c r="I767" s="3" t="s">
        <v>3065</v>
      </c>
      <c r="J767" s="3" t="s">
        <v>3072</v>
      </c>
      <c r="K767" s="3" t="s">
        <v>3840</v>
      </c>
      <c r="L767" s="3">
        <v>5</v>
      </c>
      <c r="M767" s="10" t="s">
        <v>4275</v>
      </c>
      <c r="N767" s="3" t="s">
        <v>4282</v>
      </c>
      <c r="O767" s="7">
        <v>1069.82</v>
      </c>
      <c r="P767" s="3">
        <f t="shared" si="22"/>
        <v>1069.82</v>
      </c>
    </row>
    <row r="768" spans="1:16" x14ac:dyDescent="0.35">
      <c r="A768" t="s">
        <v>780</v>
      </c>
      <c r="B768" s="5">
        <v>44948</v>
      </c>
      <c r="C768" t="s">
        <v>1977</v>
      </c>
      <c r="E768" t="s">
        <v>2407</v>
      </c>
      <c r="F768">
        <v>2</v>
      </c>
      <c r="G768" s="7">
        <v>278.88</v>
      </c>
      <c r="H768" s="3" t="s">
        <v>2704</v>
      </c>
      <c r="I768" s="3" t="s">
        <v>3065</v>
      </c>
      <c r="J768" s="3" t="s">
        <v>3074</v>
      </c>
      <c r="K768" s="3" t="s">
        <v>3841</v>
      </c>
      <c r="L768" s="3">
        <v>3</v>
      </c>
      <c r="M768" s="10" t="s">
        <v>4276</v>
      </c>
      <c r="N768" s="3" t="s">
        <v>4279</v>
      </c>
      <c r="O768" s="7">
        <v>557.76</v>
      </c>
      <c r="P768" s="3">
        <f t="shared" si="22"/>
        <v>557.76</v>
      </c>
    </row>
    <row r="769" spans="1:16" x14ac:dyDescent="0.35">
      <c r="A769" t="s">
        <v>781</v>
      </c>
      <c r="B769" s="5">
        <v>45765</v>
      </c>
      <c r="C769" t="s">
        <v>1978</v>
      </c>
      <c r="E769" t="s">
        <v>2405</v>
      </c>
      <c r="F769">
        <v>2</v>
      </c>
      <c r="G769" s="7">
        <v>323.22000000000003</v>
      </c>
      <c r="H769" s="3" t="s">
        <v>2912</v>
      </c>
      <c r="I769" s="3" t="s">
        <v>3067</v>
      </c>
      <c r="J769" s="3" t="s">
        <v>3073</v>
      </c>
      <c r="K769" s="3" t="s">
        <v>3842</v>
      </c>
      <c r="L769" s="3">
        <v>7</v>
      </c>
      <c r="N769" s="3" t="s">
        <v>4278</v>
      </c>
      <c r="O769" s="7">
        <v>646.44000000000005</v>
      </c>
      <c r="P769" s="3">
        <f t="shared" si="22"/>
        <v>646.44000000000005</v>
      </c>
    </row>
    <row r="770" spans="1:16" x14ac:dyDescent="0.35">
      <c r="A770" t="s">
        <v>782</v>
      </c>
      <c r="B770" s="5">
        <v>45173</v>
      </c>
      <c r="C770" t="s">
        <v>1979</v>
      </c>
      <c r="E770" t="s">
        <v>2405</v>
      </c>
      <c r="F770">
        <v>5</v>
      </c>
      <c r="G770" s="7">
        <v>653.46</v>
      </c>
      <c r="H770" s="3" t="s">
        <v>2913</v>
      </c>
      <c r="I770" s="3" t="s">
        <v>3069</v>
      </c>
      <c r="J770" s="3" t="s">
        <v>3071</v>
      </c>
      <c r="K770" s="3" t="s">
        <v>3843</v>
      </c>
      <c r="L770" s="3">
        <v>9</v>
      </c>
      <c r="M770" s="10" t="s">
        <v>4277</v>
      </c>
      <c r="N770" s="3" t="s">
        <v>4280</v>
      </c>
      <c r="O770" s="7">
        <v>3267.3</v>
      </c>
      <c r="P770" s="3">
        <f t="shared" si="22"/>
        <v>3267.3</v>
      </c>
    </row>
    <row r="771" spans="1:16" x14ac:dyDescent="0.35">
      <c r="A771" t="s">
        <v>783</v>
      </c>
      <c r="B771" s="5">
        <v>45113</v>
      </c>
      <c r="C771" t="s">
        <v>1980</v>
      </c>
      <c r="E771" t="s">
        <v>2407</v>
      </c>
      <c r="F771">
        <v>4</v>
      </c>
      <c r="G771" s="7">
        <v>678.55</v>
      </c>
      <c r="H771" s="3" t="s">
        <v>2438</v>
      </c>
      <c r="I771" s="3" t="s">
        <v>3069</v>
      </c>
      <c r="J771" s="3" t="s">
        <v>3073</v>
      </c>
      <c r="K771" s="3" t="s">
        <v>3844</v>
      </c>
      <c r="L771" s="3">
        <v>5</v>
      </c>
      <c r="N771" s="3" t="s">
        <v>4280</v>
      </c>
      <c r="O771" s="7">
        <v>2714.2</v>
      </c>
      <c r="P771" s="3">
        <f t="shared" ref="P771:P834" si="23">G771*F771</f>
        <v>2714.2</v>
      </c>
    </row>
    <row r="772" spans="1:16" x14ac:dyDescent="0.35">
      <c r="A772" t="s">
        <v>784</v>
      </c>
      <c r="B772" s="5">
        <v>45333</v>
      </c>
      <c r="C772" t="s">
        <v>1981</v>
      </c>
      <c r="E772" t="s">
        <v>2409</v>
      </c>
      <c r="F772">
        <v>1</v>
      </c>
      <c r="G772" s="7">
        <v>314.38</v>
      </c>
      <c r="H772" s="3" t="s">
        <v>2757</v>
      </c>
      <c r="I772" s="3" t="s">
        <v>3066</v>
      </c>
      <c r="J772" s="3" t="s">
        <v>3072</v>
      </c>
      <c r="K772" s="3" t="s">
        <v>3845</v>
      </c>
      <c r="L772" s="3">
        <v>6</v>
      </c>
      <c r="N772" s="3" t="s">
        <v>4282</v>
      </c>
      <c r="O772" s="7">
        <v>314.38</v>
      </c>
      <c r="P772" s="3">
        <f t="shared" si="23"/>
        <v>314.38</v>
      </c>
    </row>
    <row r="773" spans="1:16" x14ac:dyDescent="0.35">
      <c r="A773" t="s">
        <v>785</v>
      </c>
      <c r="B773" s="5">
        <v>45455</v>
      </c>
      <c r="C773" t="s">
        <v>1982</v>
      </c>
      <c r="E773" t="s">
        <v>2404</v>
      </c>
      <c r="F773">
        <v>3</v>
      </c>
      <c r="G773" s="7">
        <v>692.44</v>
      </c>
      <c r="H773" s="3" t="s">
        <v>2724</v>
      </c>
      <c r="I773" s="3" t="s">
        <v>3065</v>
      </c>
      <c r="J773" s="3" t="s">
        <v>3071</v>
      </c>
      <c r="K773" s="3" t="s">
        <v>3846</v>
      </c>
      <c r="L773" s="3">
        <v>8</v>
      </c>
      <c r="M773" s="10" t="s">
        <v>4276</v>
      </c>
      <c r="N773" s="3" t="s">
        <v>4282</v>
      </c>
      <c r="O773" s="7">
        <v>2077.3200000000002</v>
      </c>
      <c r="P773" s="3">
        <f t="shared" si="23"/>
        <v>2077.3200000000002</v>
      </c>
    </row>
    <row r="774" spans="1:16" x14ac:dyDescent="0.35">
      <c r="A774" t="s">
        <v>786</v>
      </c>
      <c r="B774" s="5">
        <v>45501</v>
      </c>
      <c r="C774" t="s">
        <v>1983</v>
      </c>
      <c r="E774" t="s">
        <v>2403</v>
      </c>
      <c r="F774">
        <v>1</v>
      </c>
      <c r="G774" s="7">
        <v>604.87</v>
      </c>
      <c r="H774" s="3" t="s">
        <v>2914</v>
      </c>
      <c r="I774" s="3" t="s">
        <v>3066</v>
      </c>
      <c r="J774" s="3" t="s">
        <v>3073</v>
      </c>
      <c r="K774" s="3" t="s">
        <v>3847</v>
      </c>
      <c r="L774" s="3">
        <v>4</v>
      </c>
      <c r="N774" s="3" t="s">
        <v>4278</v>
      </c>
      <c r="O774" s="7">
        <v>604.87</v>
      </c>
      <c r="P774" s="3">
        <f t="shared" si="23"/>
        <v>604.87</v>
      </c>
    </row>
    <row r="775" spans="1:16" x14ac:dyDescent="0.35">
      <c r="A775" t="s">
        <v>787</v>
      </c>
      <c r="B775" s="5">
        <v>45836</v>
      </c>
      <c r="C775" t="s">
        <v>1984</v>
      </c>
      <c r="E775" t="s">
        <v>2404</v>
      </c>
      <c r="F775">
        <v>2</v>
      </c>
      <c r="G775" s="7">
        <v>512.33000000000004</v>
      </c>
      <c r="H775" s="3" t="s">
        <v>2915</v>
      </c>
      <c r="I775" s="3" t="s">
        <v>3069</v>
      </c>
      <c r="J775" s="3" t="s">
        <v>3071</v>
      </c>
      <c r="K775" s="3" t="s">
        <v>3848</v>
      </c>
      <c r="L775" s="3">
        <v>7</v>
      </c>
      <c r="N775" s="3" t="s">
        <v>4281</v>
      </c>
      <c r="O775" s="7">
        <v>1024.6600000000001</v>
      </c>
      <c r="P775" s="3">
        <f t="shared" si="23"/>
        <v>1024.6600000000001</v>
      </c>
    </row>
    <row r="776" spans="1:16" x14ac:dyDescent="0.35">
      <c r="A776" t="s">
        <v>788</v>
      </c>
      <c r="B776" s="5">
        <v>45762</v>
      </c>
      <c r="C776" t="s">
        <v>1985</v>
      </c>
      <c r="E776" t="s">
        <v>2406</v>
      </c>
      <c r="F776">
        <v>3</v>
      </c>
      <c r="G776" s="7">
        <v>20.54</v>
      </c>
      <c r="H776" s="3" t="s">
        <v>2916</v>
      </c>
      <c r="I776" s="3" t="s">
        <v>3067</v>
      </c>
      <c r="J776" s="3" t="s">
        <v>3071</v>
      </c>
      <c r="K776" s="3" t="s">
        <v>3849</v>
      </c>
      <c r="L776" s="3">
        <v>3</v>
      </c>
      <c r="M776" s="10" t="s">
        <v>4276</v>
      </c>
      <c r="N776" s="3" t="s">
        <v>4278</v>
      </c>
      <c r="O776" s="7">
        <v>61.62</v>
      </c>
      <c r="P776" s="3">
        <f t="shared" si="23"/>
        <v>61.62</v>
      </c>
    </row>
    <row r="777" spans="1:16" x14ac:dyDescent="0.35">
      <c r="A777" t="s">
        <v>789</v>
      </c>
      <c r="B777" s="5">
        <v>44989</v>
      </c>
      <c r="C777" t="s">
        <v>1986</v>
      </c>
      <c r="E777" t="s">
        <v>2404</v>
      </c>
      <c r="F777">
        <v>2</v>
      </c>
      <c r="G777" s="7">
        <v>625.22</v>
      </c>
      <c r="H777" s="3" t="s">
        <v>2431</v>
      </c>
      <c r="I777" s="3" t="s">
        <v>3066</v>
      </c>
      <c r="J777" s="3" t="s">
        <v>3071</v>
      </c>
      <c r="K777" s="3" t="s">
        <v>3850</v>
      </c>
      <c r="L777" s="3">
        <v>5</v>
      </c>
      <c r="N777" s="3" t="s">
        <v>4282</v>
      </c>
      <c r="O777" s="7">
        <v>1250.44</v>
      </c>
      <c r="P777" s="3">
        <f t="shared" si="23"/>
        <v>1250.44</v>
      </c>
    </row>
    <row r="778" spans="1:16" x14ac:dyDescent="0.35">
      <c r="A778" t="s">
        <v>790</v>
      </c>
      <c r="B778" s="5">
        <v>45159</v>
      </c>
      <c r="C778" t="s">
        <v>1987</v>
      </c>
      <c r="E778" t="s">
        <v>2405</v>
      </c>
      <c r="F778">
        <v>1</v>
      </c>
      <c r="G778" s="7">
        <v>21.19</v>
      </c>
      <c r="H778" s="3" t="s">
        <v>2917</v>
      </c>
      <c r="I778" s="3" t="s">
        <v>3069</v>
      </c>
      <c r="J778" s="3" t="s">
        <v>3072</v>
      </c>
      <c r="K778" s="3" t="s">
        <v>3851</v>
      </c>
      <c r="L778" s="3">
        <v>5</v>
      </c>
      <c r="M778" s="10" t="s">
        <v>4277</v>
      </c>
      <c r="N778" s="3" t="s">
        <v>4282</v>
      </c>
      <c r="O778" s="7">
        <v>21.19</v>
      </c>
      <c r="P778" s="3">
        <f t="shared" si="23"/>
        <v>21.19</v>
      </c>
    </row>
    <row r="779" spans="1:16" x14ac:dyDescent="0.35">
      <c r="A779" t="s">
        <v>791</v>
      </c>
      <c r="B779" s="5">
        <v>45737</v>
      </c>
      <c r="C779" t="s">
        <v>1988</v>
      </c>
      <c r="E779" t="s">
        <v>2406</v>
      </c>
      <c r="F779">
        <v>5</v>
      </c>
      <c r="G779" s="7">
        <v>64.489999999999995</v>
      </c>
      <c r="H779" s="3" t="s">
        <v>2432</v>
      </c>
      <c r="I779" s="3" t="s">
        <v>3066</v>
      </c>
      <c r="J779" s="3" t="s">
        <v>3071</v>
      </c>
      <c r="K779" s="3" t="s">
        <v>3852</v>
      </c>
      <c r="L779" s="3">
        <v>7</v>
      </c>
      <c r="N779" s="3" t="s">
        <v>4281</v>
      </c>
      <c r="O779" s="7">
        <v>322.45</v>
      </c>
      <c r="P779" s="3">
        <f t="shared" si="23"/>
        <v>322.45</v>
      </c>
    </row>
    <row r="780" spans="1:16" x14ac:dyDescent="0.35">
      <c r="A780" t="s">
        <v>792</v>
      </c>
      <c r="B780" s="5">
        <v>45044</v>
      </c>
      <c r="C780" t="s">
        <v>1989</v>
      </c>
      <c r="E780" t="s">
        <v>2408</v>
      </c>
      <c r="F780">
        <v>4</v>
      </c>
      <c r="G780" s="7">
        <v>246.85</v>
      </c>
      <c r="H780" s="3" t="s">
        <v>2918</v>
      </c>
      <c r="I780" s="3" t="s">
        <v>3067</v>
      </c>
      <c r="J780" s="3" t="s">
        <v>3070</v>
      </c>
      <c r="K780" s="3" t="s">
        <v>3853</v>
      </c>
      <c r="L780" s="3">
        <v>8</v>
      </c>
      <c r="M780" s="10" t="s">
        <v>4277</v>
      </c>
      <c r="N780" s="3" t="s">
        <v>4282</v>
      </c>
      <c r="O780" s="7">
        <v>987.4</v>
      </c>
      <c r="P780" s="3">
        <f t="shared" si="23"/>
        <v>987.4</v>
      </c>
    </row>
    <row r="781" spans="1:16" x14ac:dyDescent="0.35">
      <c r="A781" t="s">
        <v>793</v>
      </c>
      <c r="B781" s="5">
        <v>45261</v>
      </c>
      <c r="C781" t="s">
        <v>1990</v>
      </c>
      <c r="E781" t="s">
        <v>2404</v>
      </c>
      <c r="F781">
        <v>3</v>
      </c>
      <c r="G781" s="7">
        <v>588.74</v>
      </c>
      <c r="H781" s="3" t="s">
        <v>2919</v>
      </c>
      <c r="I781" s="3" t="s">
        <v>3065</v>
      </c>
      <c r="J781" s="3" t="s">
        <v>3074</v>
      </c>
      <c r="K781" s="3" t="s">
        <v>3854</v>
      </c>
      <c r="L781" s="3">
        <v>8</v>
      </c>
      <c r="M781" s="10" t="s">
        <v>4276</v>
      </c>
      <c r="N781" s="3" t="s">
        <v>4280</v>
      </c>
      <c r="O781" s="7">
        <v>1766.22</v>
      </c>
      <c r="P781" s="3">
        <f t="shared" si="23"/>
        <v>1766.22</v>
      </c>
    </row>
    <row r="782" spans="1:16" x14ac:dyDescent="0.35">
      <c r="A782" t="s">
        <v>794</v>
      </c>
      <c r="B782" s="5">
        <v>45382</v>
      </c>
      <c r="C782" t="s">
        <v>1991</v>
      </c>
      <c r="E782" t="s">
        <v>2408</v>
      </c>
      <c r="F782">
        <v>4</v>
      </c>
      <c r="G782" s="7">
        <v>184.48</v>
      </c>
      <c r="H782" s="3" t="s">
        <v>2755</v>
      </c>
      <c r="I782" s="3" t="s">
        <v>3066</v>
      </c>
      <c r="J782" s="3" t="s">
        <v>3071</v>
      </c>
      <c r="K782" s="3" t="s">
        <v>3855</v>
      </c>
      <c r="L782" s="3">
        <v>4</v>
      </c>
      <c r="M782" s="10" t="s">
        <v>4277</v>
      </c>
      <c r="N782" s="3" t="s">
        <v>4282</v>
      </c>
      <c r="O782" s="7">
        <v>737.92</v>
      </c>
      <c r="P782" s="3">
        <f t="shared" si="23"/>
        <v>737.92</v>
      </c>
    </row>
    <row r="783" spans="1:16" x14ac:dyDescent="0.35">
      <c r="A783" t="s">
        <v>795</v>
      </c>
      <c r="B783" s="5">
        <v>45301</v>
      </c>
      <c r="C783" t="s">
        <v>1992</v>
      </c>
      <c r="E783" t="s">
        <v>2404</v>
      </c>
      <c r="F783">
        <v>5</v>
      </c>
      <c r="G783" s="7">
        <v>524.26</v>
      </c>
      <c r="H783" s="3" t="s">
        <v>2415</v>
      </c>
      <c r="I783" s="3" t="s">
        <v>3068</v>
      </c>
      <c r="J783" s="3" t="s">
        <v>3073</v>
      </c>
      <c r="K783" s="3" t="s">
        <v>3856</v>
      </c>
      <c r="L783" s="3">
        <v>5</v>
      </c>
      <c r="M783" s="10" t="s">
        <v>4276</v>
      </c>
      <c r="N783" s="3" t="s">
        <v>4279</v>
      </c>
      <c r="O783" s="7">
        <v>2621.3000000000002</v>
      </c>
      <c r="P783" s="3">
        <f t="shared" si="23"/>
        <v>2621.3000000000002</v>
      </c>
    </row>
    <row r="784" spans="1:16" x14ac:dyDescent="0.35">
      <c r="A784" t="s">
        <v>796</v>
      </c>
      <c r="B784" s="5">
        <v>45515</v>
      </c>
      <c r="C784" t="s">
        <v>1993</v>
      </c>
      <c r="E784" t="s">
        <v>2403</v>
      </c>
      <c r="F784">
        <v>2</v>
      </c>
      <c r="G784" s="7">
        <v>493.63</v>
      </c>
      <c r="H784" s="3" t="s">
        <v>2824</v>
      </c>
      <c r="I784" s="3" t="s">
        <v>3066</v>
      </c>
      <c r="J784" s="3" t="s">
        <v>3072</v>
      </c>
      <c r="K784" s="3" t="s">
        <v>3857</v>
      </c>
      <c r="L784" s="3">
        <v>6</v>
      </c>
      <c r="M784" s="10" t="s">
        <v>4275</v>
      </c>
      <c r="N784" s="3" t="s">
        <v>4279</v>
      </c>
      <c r="O784" s="7">
        <v>987.26</v>
      </c>
      <c r="P784" s="3">
        <f t="shared" si="23"/>
        <v>987.26</v>
      </c>
    </row>
    <row r="785" spans="1:16" x14ac:dyDescent="0.35">
      <c r="A785" t="s">
        <v>797</v>
      </c>
      <c r="B785" s="5">
        <v>45803</v>
      </c>
      <c r="C785" t="s">
        <v>1994</v>
      </c>
      <c r="E785" t="s">
        <v>2407</v>
      </c>
      <c r="F785">
        <v>1</v>
      </c>
      <c r="G785" s="7">
        <v>438.34</v>
      </c>
      <c r="H785" s="3" t="s">
        <v>2888</v>
      </c>
      <c r="I785" s="3" t="s">
        <v>3068</v>
      </c>
      <c r="J785" s="3" t="s">
        <v>3072</v>
      </c>
      <c r="K785" s="3" t="s">
        <v>3858</v>
      </c>
      <c r="L785" s="3">
        <v>5</v>
      </c>
      <c r="M785" s="10" t="s">
        <v>4276</v>
      </c>
      <c r="N785" s="3" t="s">
        <v>4281</v>
      </c>
      <c r="O785" s="7">
        <v>438.34</v>
      </c>
      <c r="P785" s="3">
        <f t="shared" si="23"/>
        <v>438.34</v>
      </c>
    </row>
    <row r="786" spans="1:16" x14ac:dyDescent="0.35">
      <c r="A786" t="s">
        <v>798</v>
      </c>
      <c r="B786" s="5">
        <v>45793</v>
      </c>
      <c r="C786" t="s">
        <v>1995</v>
      </c>
      <c r="E786" t="s">
        <v>2408</v>
      </c>
      <c r="F786">
        <v>1</v>
      </c>
      <c r="G786" s="7">
        <v>325.81</v>
      </c>
      <c r="H786" s="3" t="s">
        <v>2459</v>
      </c>
      <c r="I786" s="3" t="s">
        <v>3067</v>
      </c>
      <c r="J786" s="3" t="s">
        <v>3074</v>
      </c>
      <c r="K786" s="3" t="s">
        <v>3859</v>
      </c>
      <c r="L786" s="3">
        <v>1</v>
      </c>
      <c r="M786" s="10" t="s">
        <v>4277</v>
      </c>
      <c r="N786" s="3" t="s">
        <v>4279</v>
      </c>
      <c r="O786" s="7">
        <v>325.81</v>
      </c>
      <c r="P786" s="3">
        <f t="shared" si="23"/>
        <v>325.81</v>
      </c>
    </row>
    <row r="787" spans="1:16" x14ac:dyDescent="0.35">
      <c r="A787" t="s">
        <v>799</v>
      </c>
      <c r="B787" s="5">
        <v>45136</v>
      </c>
      <c r="C787" t="s">
        <v>1996</v>
      </c>
      <c r="E787" t="s">
        <v>2406</v>
      </c>
      <c r="F787">
        <v>1</v>
      </c>
      <c r="G787" s="7">
        <v>176.1</v>
      </c>
      <c r="H787" s="3" t="s">
        <v>2920</v>
      </c>
      <c r="I787" s="3" t="s">
        <v>3067</v>
      </c>
      <c r="J787" s="3" t="s">
        <v>3074</v>
      </c>
      <c r="K787" s="3" t="s">
        <v>3860</v>
      </c>
      <c r="L787" s="3">
        <v>1</v>
      </c>
      <c r="M787" s="10" t="s">
        <v>4275</v>
      </c>
      <c r="N787" s="3" t="s">
        <v>4278</v>
      </c>
      <c r="O787" s="7">
        <v>176.1</v>
      </c>
      <c r="P787" s="3">
        <f t="shared" si="23"/>
        <v>176.1</v>
      </c>
    </row>
    <row r="788" spans="1:16" x14ac:dyDescent="0.35">
      <c r="A788" t="s">
        <v>800</v>
      </c>
      <c r="B788" s="5">
        <v>45161</v>
      </c>
      <c r="C788" t="s">
        <v>1997</v>
      </c>
      <c r="E788" t="s">
        <v>2406</v>
      </c>
      <c r="F788">
        <v>5</v>
      </c>
      <c r="G788" s="7">
        <v>45.31</v>
      </c>
      <c r="H788" s="3" t="s">
        <v>2921</v>
      </c>
      <c r="I788" s="3" t="s">
        <v>3066</v>
      </c>
      <c r="J788" s="3" t="s">
        <v>3071</v>
      </c>
      <c r="K788" s="3" t="s">
        <v>3861</v>
      </c>
      <c r="L788" s="3">
        <v>8</v>
      </c>
      <c r="N788" s="3" t="s">
        <v>4279</v>
      </c>
      <c r="O788" s="7">
        <v>226.55</v>
      </c>
      <c r="P788" s="3">
        <f t="shared" si="23"/>
        <v>226.55</v>
      </c>
    </row>
    <row r="789" spans="1:16" x14ac:dyDescent="0.35">
      <c r="A789" t="s">
        <v>801</v>
      </c>
      <c r="B789" s="5">
        <v>45368</v>
      </c>
      <c r="C789" t="s">
        <v>1998</v>
      </c>
      <c r="E789" t="s">
        <v>2409</v>
      </c>
      <c r="F789">
        <v>4</v>
      </c>
      <c r="G789" s="7">
        <v>221.96</v>
      </c>
      <c r="H789" s="3" t="s">
        <v>2922</v>
      </c>
      <c r="I789" s="3" t="s">
        <v>3069</v>
      </c>
      <c r="J789" s="3" t="s">
        <v>3073</v>
      </c>
      <c r="K789" s="3" t="s">
        <v>3862</v>
      </c>
      <c r="L789" s="3">
        <v>7</v>
      </c>
      <c r="N789" s="3" t="s">
        <v>4282</v>
      </c>
      <c r="O789" s="7">
        <v>887.84</v>
      </c>
      <c r="P789" s="3">
        <f t="shared" si="23"/>
        <v>887.84</v>
      </c>
    </row>
    <row r="790" spans="1:16" x14ac:dyDescent="0.35">
      <c r="A790" t="s">
        <v>802</v>
      </c>
      <c r="B790" s="5">
        <v>45232</v>
      </c>
      <c r="C790" t="s">
        <v>1999</v>
      </c>
      <c r="E790" t="s">
        <v>2406</v>
      </c>
      <c r="F790">
        <v>2</v>
      </c>
      <c r="G790" s="7">
        <v>601.42999999999995</v>
      </c>
      <c r="H790" s="3" t="s">
        <v>2923</v>
      </c>
      <c r="I790" s="3" t="s">
        <v>3066</v>
      </c>
      <c r="J790" s="3" t="s">
        <v>3074</v>
      </c>
      <c r="K790" s="3" t="s">
        <v>3863</v>
      </c>
      <c r="L790" s="3">
        <v>5</v>
      </c>
      <c r="M790" s="10" t="s">
        <v>4276</v>
      </c>
      <c r="N790" s="3" t="s">
        <v>4278</v>
      </c>
      <c r="O790" s="7">
        <v>1202.8599999999999</v>
      </c>
      <c r="P790" s="3">
        <f t="shared" si="23"/>
        <v>1202.8599999999999</v>
      </c>
    </row>
    <row r="791" spans="1:16" x14ac:dyDescent="0.35">
      <c r="A791" t="s">
        <v>803</v>
      </c>
      <c r="B791" s="5">
        <v>45155</v>
      </c>
      <c r="C791" t="s">
        <v>2000</v>
      </c>
      <c r="E791" t="s">
        <v>2405</v>
      </c>
      <c r="F791">
        <v>5</v>
      </c>
      <c r="G791" s="7">
        <v>691.28</v>
      </c>
      <c r="H791" s="3" t="s">
        <v>2924</v>
      </c>
      <c r="I791" s="3" t="s">
        <v>3066</v>
      </c>
      <c r="J791" s="3" t="s">
        <v>3073</v>
      </c>
      <c r="K791" s="3" t="s">
        <v>3864</v>
      </c>
      <c r="L791" s="3">
        <v>10</v>
      </c>
      <c r="M791" s="10" t="s">
        <v>4275</v>
      </c>
      <c r="N791" s="3" t="s">
        <v>4280</v>
      </c>
      <c r="O791" s="7">
        <v>3456.4</v>
      </c>
      <c r="P791" s="3">
        <f t="shared" si="23"/>
        <v>3456.3999999999996</v>
      </c>
    </row>
    <row r="792" spans="1:16" x14ac:dyDescent="0.35">
      <c r="A792" t="s">
        <v>804</v>
      </c>
      <c r="B792" s="5">
        <v>45549</v>
      </c>
      <c r="C792" t="s">
        <v>2001</v>
      </c>
      <c r="E792" t="s">
        <v>2408</v>
      </c>
      <c r="F792">
        <v>4</v>
      </c>
      <c r="G792" s="7">
        <v>417.89</v>
      </c>
      <c r="H792" s="3" t="s">
        <v>2925</v>
      </c>
      <c r="I792" s="3" t="s">
        <v>3068</v>
      </c>
      <c r="J792" s="3" t="s">
        <v>3074</v>
      </c>
      <c r="K792" s="3" t="s">
        <v>3865</v>
      </c>
      <c r="L792" s="3">
        <v>4</v>
      </c>
      <c r="N792" s="3" t="s">
        <v>4282</v>
      </c>
      <c r="O792" s="7">
        <v>1671.56</v>
      </c>
      <c r="P792" s="3">
        <f t="shared" si="23"/>
        <v>1671.56</v>
      </c>
    </row>
    <row r="793" spans="1:16" x14ac:dyDescent="0.35">
      <c r="A793" t="s">
        <v>805</v>
      </c>
      <c r="B793" s="5">
        <v>45304</v>
      </c>
      <c r="C793" t="s">
        <v>2002</v>
      </c>
      <c r="E793" t="s">
        <v>2406</v>
      </c>
      <c r="F793">
        <v>4</v>
      </c>
      <c r="G793" s="7">
        <v>409.28</v>
      </c>
      <c r="H793" s="3" t="s">
        <v>2434</v>
      </c>
      <c r="I793" s="3" t="s">
        <v>3069</v>
      </c>
      <c r="J793" s="3" t="s">
        <v>3074</v>
      </c>
      <c r="K793" s="3" t="s">
        <v>3866</v>
      </c>
      <c r="L793" s="3">
        <v>8</v>
      </c>
      <c r="N793" s="3" t="s">
        <v>4280</v>
      </c>
      <c r="O793" s="7">
        <v>1637.12</v>
      </c>
      <c r="P793" s="3">
        <f t="shared" si="23"/>
        <v>1637.12</v>
      </c>
    </row>
    <row r="794" spans="1:16" x14ac:dyDescent="0.35">
      <c r="A794" t="s">
        <v>806</v>
      </c>
      <c r="B794" s="5">
        <v>45093</v>
      </c>
      <c r="C794" t="s">
        <v>2003</v>
      </c>
      <c r="E794" t="s">
        <v>2409</v>
      </c>
      <c r="F794">
        <v>2</v>
      </c>
      <c r="G794" s="7">
        <v>356.35</v>
      </c>
      <c r="H794" s="3" t="s">
        <v>2926</v>
      </c>
      <c r="I794" s="3" t="s">
        <v>3065</v>
      </c>
      <c r="J794" s="3" t="s">
        <v>3072</v>
      </c>
      <c r="K794" s="3" t="s">
        <v>3867</v>
      </c>
      <c r="L794" s="3">
        <v>6</v>
      </c>
      <c r="M794" s="10" t="s">
        <v>4277</v>
      </c>
      <c r="N794" s="3" t="s">
        <v>4281</v>
      </c>
      <c r="O794" s="7">
        <v>712.7</v>
      </c>
      <c r="P794" s="3">
        <f t="shared" si="23"/>
        <v>712.7</v>
      </c>
    </row>
    <row r="795" spans="1:16" x14ac:dyDescent="0.35">
      <c r="A795" t="s">
        <v>807</v>
      </c>
      <c r="B795" s="5">
        <v>45397</v>
      </c>
      <c r="C795" t="s">
        <v>2004</v>
      </c>
      <c r="E795" t="s">
        <v>2406</v>
      </c>
      <c r="F795">
        <v>5</v>
      </c>
      <c r="G795" s="7">
        <v>170.22</v>
      </c>
      <c r="H795" s="3" t="s">
        <v>2745</v>
      </c>
      <c r="I795" s="3" t="s">
        <v>3065</v>
      </c>
      <c r="J795" s="3" t="s">
        <v>3073</v>
      </c>
      <c r="K795" s="3" t="s">
        <v>3868</v>
      </c>
      <c r="L795" s="3">
        <v>8</v>
      </c>
      <c r="N795" s="3" t="s">
        <v>4279</v>
      </c>
      <c r="O795" s="7">
        <v>851.1</v>
      </c>
      <c r="P795" s="3">
        <f t="shared" si="23"/>
        <v>851.1</v>
      </c>
    </row>
    <row r="796" spans="1:16" x14ac:dyDescent="0.35">
      <c r="A796" t="s">
        <v>808</v>
      </c>
      <c r="B796" s="5">
        <v>44994</v>
      </c>
      <c r="C796" t="s">
        <v>2005</v>
      </c>
      <c r="E796" t="s">
        <v>2407</v>
      </c>
      <c r="F796">
        <v>4</v>
      </c>
      <c r="G796" s="7">
        <v>384.85</v>
      </c>
      <c r="H796" s="3" t="s">
        <v>2927</v>
      </c>
      <c r="I796" s="3" t="s">
        <v>3066</v>
      </c>
      <c r="J796" s="3" t="s">
        <v>3073</v>
      </c>
      <c r="K796" s="3" t="s">
        <v>3869</v>
      </c>
      <c r="L796" s="3">
        <v>9</v>
      </c>
      <c r="M796" s="10" t="s">
        <v>4276</v>
      </c>
      <c r="N796" s="3" t="s">
        <v>4278</v>
      </c>
      <c r="O796" s="7">
        <v>1539.4</v>
      </c>
      <c r="P796" s="3">
        <f t="shared" si="23"/>
        <v>1539.4</v>
      </c>
    </row>
    <row r="797" spans="1:16" x14ac:dyDescent="0.35">
      <c r="A797" t="s">
        <v>809</v>
      </c>
      <c r="B797" s="5">
        <v>45616</v>
      </c>
      <c r="C797" t="s">
        <v>2006</v>
      </c>
      <c r="E797" t="s">
        <v>2408</v>
      </c>
      <c r="F797">
        <v>4</v>
      </c>
      <c r="G797" s="7">
        <v>115.77</v>
      </c>
      <c r="H797" s="3" t="s">
        <v>2928</v>
      </c>
      <c r="I797" s="3" t="s">
        <v>3066</v>
      </c>
      <c r="J797" s="3" t="s">
        <v>3074</v>
      </c>
      <c r="K797" s="3" t="s">
        <v>3870</v>
      </c>
      <c r="L797" s="3">
        <v>7</v>
      </c>
      <c r="M797" s="10" t="s">
        <v>4275</v>
      </c>
      <c r="N797" s="3" t="s">
        <v>4278</v>
      </c>
      <c r="O797" s="7">
        <v>463.08</v>
      </c>
      <c r="P797" s="3">
        <f t="shared" si="23"/>
        <v>463.08</v>
      </c>
    </row>
    <row r="798" spans="1:16" x14ac:dyDescent="0.35">
      <c r="A798" t="s">
        <v>810</v>
      </c>
      <c r="B798" s="5">
        <v>45776</v>
      </c>
      <c r="C798" t="s">
        <v>2007</v>
      </c>
      <c r="E798" t="s">
        <v>2404</v>
      </c>
      <c r="F798">
        <v>3</v>
      </c>
      <c r="G798" s="7">
        <v>579.54999999999995</v>
      </c>
      <c r="H798" s="3" t="s">
        <v>2599</v>
      </c>
      <c r="I798" s="3" t="s">
        <v>3068</v>
      </c>
      <c r="J798" s="3" t="s">
        <v>3072</v>
      </c>
      <c r="K798" s="3" t="s">
        <v>3871</v>
      </c>
      <c r="L798" s="3">
        <v>8</v>
      </c>
      <c r="M798" s="10" t="s">
        <v>4277</v>
      </c>
      <c r="N798" s="3" t="s">
        <v>4281</v>
      </c>
      <c r="O798" s="7">
        <v>1738.65</v>
      </c>
      <c r="P798" s="3">
        <f t="shared" si="23"/>
        <v>1738.6499999999999</v>
      </c>
    </row>
    <row r="799" spans="1:16" x14ac:dyDescent="0.35">
      <c r="A799" t="s">
        <v>811</v>
      </c>
      <c r="B799" s="5">
        <v>44984</v>
      </c>
      <c r="C799" t="s">
        <v>2008</v>
      </c>
      <c r="E799" t="s">
        <v>2408</v>
      </c>
      <c r="F799">
        <v>2</v>
      </c>
      <c r="G799" s="7">
        <v>438.76</v>
      </c>
      <c r="H799" s="3" t="s">
        <v>2929</v>
      </c>
      <c r="I799" s="3" t="s">
        <v>3065</v>
      </c>
      <c r="J799" s="3" t="s">
        <v>3072</v>
      </c>
      <c r="K799" s="3" t="s">
        <v>3872</v>
      </c>
      <c r="L799" s="3">
        <v>2</v>
      </c>
      <c r="N799" s="3" t="s">
        <v>4281</v>
      </c>
      <c r="O799" s="7">
        <v>877.52</v>
      </c>
      <c r="P799" s="3">
        <f t="shared" si="23"/>
        <v>877.52</v>
      </c>
    </row>
    <row r="800" spans="1:16" x14ac:dyDescent="0.35">
      <c r="A800" t="s">
        <v>812</v>
      </c>
      <c r="B800" s="5">
        <v>45796</v>
      </c>
      <c r="C800" t="s">
        <v>2009</v>
      </c>
      <c r="E800" t="s">
        <v>2404</v>
      </c>
      <c r="F800">
        <v>5</v>
      </c>
      <c r="G800" s="7">
        <v>488.35</v>
      </c>
      <c r="H800" s="3" t="s">
        <v>2672</v>
      </c>
      <c r="I800" s="3" t="s">
        <v>3065</v>
      </c>
      <c r="J800" s="3" t="s">
        <v>3072</v>
      </c>
      <c r="K800" s="3" t="s">
        <v>3873</v>
      </c>
      <c r="L800" s="3">
        <v>9</v>
      </c>
      <c r="M800" s="10" t="s">
        <v>4276</v>
      </c>
      <c r="N800" s="3" t="s">
        <v>4280</v>
      </c>
      <c r="O800" s="7">
        <v>2441.75</v>
      </c>
      <c r="P800" s="3">
        <f t="shared" si="23"/>
        <v>2441.75</v>
      </c>
    </row>
    <row r="801" spans="1:16" x14ac:dyDescent="0.35">
      <c r="A801" t="s">
        <v>813</v>
      </c>
      <c r="B801" s="5">
        <v>45032</v>
      </c>
      <c r="C801" t="s">
        <v>2010</v>
      </c>
      <c r="E801" t="s">
        <v>2408</v>
      </c>
      <c r="F801">
        <v>4</v>
      </c>
      <c r="G801" s="7">
        <v>328.56</v>
      </c>
      <c r="H801" s="3" t="s">
        <v>2638</v>
      </c>
      <c r="I801" s="3" t="s">
        <v>3065</v>
      </c>
      <c r="J801" s="3" t="s">
        <v>3072</v>
      </c>
      <c r="K801" s="3" t="s">
        <v>3874</v>
      </c>
      <c r="L801" s="3">
        <v>4</v>
      </c>
      <c r="M801" s="10" t="s">
        <v>4276</v>
      </c>
      <c r="N801" s="3" t="s">
        <v>4280</v>
      </c>
      <c r="O801" s="7">
        <v>1314.24</v>
      </c>
      <c r="P801" s="3">
        <f t="shared" si="23"/>
        <v>1314.24</v>
      </c>
    </row>
    <row r="802" spans="1:16" x14ac:dyDescent="0.35">
      <c r="A802" t="s">
        <v>814</v>
      </c>
      <c r="B802" s="5">
        <v>45744</v>
      </c>
      <c r="C802" t="s">
        <v>2011</v>
      </c>
      <c r="E802" t="s">
        <v>2405</v>
      </c>
      <c r="F802">
        <v>1</v>
      </c>
      <c r="G802" s="7">
        <v>68.39</v>
      </c>
      <c r="H802" s="3" t="s">
        <v>2930</v>
      </c>
      <c r="I802" s="3" t="s">
        <v>3066</v>
      </c>
      <c r="J802" s="3" t="s">
        <v>3072</v>
      </c>
      <c r="K802" s="3" t="s">
        <v>3875</v>
      </c>
      <c r="L802" s="3">
        <v>3</v>
      </c>
      <c r="M802" s="10" t="s">
        <v>4277</v>
      </c>
      <c r="N802" s="3" t="s">
        <v>4281</v>
      </c>
      <c r="O802" s="7">
        <v>68.39</v>
      </c>
      <c r="P802" s="3">
        <f t="shared" si="23"/>
        <v>68.39</v>
      </c>
    </row>
    <row r="803" spans="1:16" x14ac:dyDescent="0.35">
      <c r="A803" t="s">
        <v>815</v>
      </c>
      <c r="B803" s="5">
        <v>45049</v>
      </c>
      <c r="C803" t="s">
        <v>1241</v>
      </c>
      <c r="E803" t="s">
        <v>2407</v>
      </c>
      <c r="F803">
        <v>4</v>
      </c>
      <c r="G803" s="7">
        <v>595.62</v>
      </c>
      <c r="H803" s="3" t="s">
        <v>2931</v>
      </c>
      <c r="I803" s="3" t="s">
        <v>3065</v>
      </c>
      <c r="J803" s="3" t="s">
        <v>3074</v>
      </c>
      <c r="K803" s="3" t="s">
        <v>3876</v>
      </c>
      <c r="L803" s="3">
        <v>8</v>
      </c>
      <c r="M803" s="10" t="s">
        <v>4276</v>
      </c>
      <c r="N803" s="3" t="s">
        <v>4281</v>
      </c>
      <c r="O803" s="7">
        <v>2382.48</v>
      </c>
      <c r="P803" s="3">
        <f t="shared" si="23"/>
        <v>2382.48</v>
      </c>
    </row>
    <row r="804" spans="1:16" x14ac:dyDescent="0.35">
      <c r="A804" t="s">
        <v>816</v>
      </c>
      <c r="B804" s="5">
        <v>45339</v>
      </c>
      <c r="C804" t="s">
        <v>2012</v>
      </c>
      <c r="E804" t="s">
        <v>2406</v>
      </c>
      <c r="F804">
        <v>5</v>
      </c>
      <c r="G804" s="7">
        <v>644.64</v>
      </c>
      <c r="H804" s="3" t="s">
        <v>2932</v>
      </c>
      <c r="I804" s="3" t="s">
        <v>3068</v>
      </c>
      <c r="J804" s="3" t="s">
        <v>3071</v>
      </c>
      <c r="K804" s="3" t="s">
        <v>3877</v>
      </c>
      <c r="L804" s="3">
        <v>6</v>
      </c>
      <c r="M804" s="10" t="s">
        <v>4276</v>
      </c>
      <c r="N804" s="3" t="s">
        <v>4280</v>
      </c>
      <c r="O804" s="7">
        <v>3223.2</v>
      </c>
      <c r="P804" s="3">
        <f t="shared" si="23"/>
        <v>3223.2</v>
      </c>
    </row>
    <row r="805" spans="1:16" x14ac:dyDescent="0.35">
      <c r="A805" t="s">
        <v>817</v>
      </c>
      <c r="B805" s="5">
        <v>45158</v>
      </c>
      <c r="C805" t="s">
        <v>2013</v>
      </c>
      <c r="E805" t="s">
        <v>2403</v>
      </c>
      <c r="F805">
        <v>5</v>
      </c>
      <c r="G805" s="7">
        <v>397.81</v>
      </c>
      <c r="H805" s="3" t="s">
        <v>2454</v>
      </c>
      <c r="I805" s="3" t="s">
        <v>3065</v>
      </c>
      <c r="J805" s="3" t="s">
        <v>3072</v>
      </c>
      <c r="K805" s="3" t="s">
        <v>3878</v>
      </c>
      <c r="L805" s="3">
        <v>5</v>
      </c>
      <c r="M805" s="10" t="s">
        <v>4275</v>
      </c>
      <c r="N805" s="3" t="s">
        <v>4279</v>
      </c>
      <c r="O805" s="7">
        <v>1989.05</v>
      </c>
      <c r="P805" s="3">
        <f t="shared" si="23"/>
        <v>1989.05</v>
      </c>
    </row>
    <row r="806" spans="1:16" x14ac:dyDescent="0.35">
      <c r="A806" t="s">
        <v>818</v>
      </c>
      <c r="B806" s="5">
        <v>45292</v>
      </c>
      <c r="C806" t="s">
        <v>2014</v>
      </c>
      <c r="E806" t="s">
        <v>2406</v>
      </c>
      <c r="F806">
        <v>3</v>
      </c>
      <c r="G806" s="7">
        <v>236.5</v>
      </c>
      <c r="H806" s="3" t="s">
        <v>2933</v>
      </c>
      <c r="I806" s="3" t="s">
        <v>3066</v>
      </c>
      <c r="J806" s="3" t="s">
        <v>3073</v>
      </c>
      <c r="K806" s="3" t="s">
        <v>3879</v>
      </c>
      <c r="L806" s="3">
        <v>8</v>
      </c>
      <c r="M806" s="10" t="s">
        <v>4276</v>
      </c>
      <c r="N806" s="3" t="s">
        <v>4280</v>
      </c>
      <c r="O806" s="7">
        <v>709.5</v>
      </c>
      <c r="P806" s="3">
        <f t="shared" si="23"/>
        <v>709.5</v>
      </c>
    </row>
    <row r="807" spans="1:16" x14ac:dyDescent="0.35">
      <c r="A807" t="s">
        <v>819</v>
      </c>
      <c r="B807" s="5">
        <v>45580</v>
      </c>
      <c r="C807" t="s">
        <v>2015</v>
      </c>
      <c r="E807" t="s">
        <v>2408</v>
      </c>
      <c r="F807">
        <v>5</v>
      </c>
      <c r="G807" s="7">
        <v>472.01</v>
      </c>
      <c r="H807" s="3" t="s">
        <v>2934</v>
      </c>
      <c r="I807" s="3" t="s">
        <v>3068</v>
      </c>
      <c r="J807" s="3" t="s">
        <v>3071</v>
      </c>
      <c r="K807" s="3" t="s">
        <v>3880</v>
      </c>
      <c r="L807" s="3">
        <v>10</v>
      </c>
      <c r="M807" s="10" t="s">
        <v>4275</v>
      </c>
      <c r="N807" s="3" t="s">
        <v>4280</v>
      </c>
      <c r="O807" s="7">
        <v>2360.0500000000002</v>
      </c>
      <c r="P807" s="3">
        <f t="shared" si="23"/>
        <v>2360.0500000000002</v>
      </c>
    </row>
    <row r="808" spans="1:16" x14ac:dyDescent="0.35">
      <c r="A808" t="s">
        <v>820</v>
      </c>
      <c r="B808" s="5">
        <v>45170</v>
      </c>
      <c r="C808" t="s">
        <v>2016</v>
      </c>
      <c r="E808" t="s">
        <v>2406</v>
      </c>
      <c r="F808">
        <v>5</v>
      </c>
      <c r="G808" s="7">
        <v>253.75</v>
      </c>
      <c r="H808" s="3" t="s">
        <v>2650</v>
      </c>
      <c r="I808" s="3" t="s">
        <v>3066</v>
      </c>
      <c r="J808" s="3" t="s">
        <v>3074</v>
      </c>
      <c r="K808" s="3" t="s">
        <v>3881</v>
      </c>
      <c r="L808" s="3">
        <v>9</v>
      </c>
      <c r="M808" s="10" t="s">
        <v>4277</v>
      </c>
      <c r="N808" s="3" t="s">
        <v>4278</v>
      </c>
      <c r="O808" s="7">
        <v>1268.75</v>
      </c>
      <c r="P808" s="3">
        <f t="shared" si="23"/>
        <v>1268.75</v>
      </c>
    </row>
    <row r="809" spans="1:16" x14ac:dyDescent="0.35">
      <c r="A809" t="s">
        <v>821</v>
      </c>
      <c r="B809" s="5">
        <v>45606</v>
      </c>
      <c r="C809" t="s">
        <v>2017</v>
      </c>
      <c r="E809" t="s">
        <v>2403</v>
      </c>
      <c r="F809">
        <v>3</v>
      </c>
      <c r="G809" s="7">
        <v>676.21</v>
      </c>
      <c r="H809" s="3" t="s">
        <v>2935</v>
      </c>
      <c r="I809" s="3" t="s">
        <v>3066</v>
      </c>
      <c r="J809" s="3" t="s">
        <v>3073</v>
      </c>
      <c r="K809" s="3" t="s">
        <v>3882</v>
      </c>
      <c r="L809" s="3">
        <v>5</v>
      </c>
      <c r="M809" s="10" t="s">
        <v>4275</v>
      </c>
      <c r="N809" s="3" t="s">
        <v>4282</v>
      </c>
      <c r="O809" s="7">
        <v>2028.63</v>
      </c>
      <c r="P809" s="3">
        <f t="shared" si="23"/>
        <v>2028.63</v>
      </c>
    </row>
    <row r="810" spans="1:16" x14ac:dyDescent="0.35">
      <c r="A810" t="s">
        <v>822</v>
      </c>
      <c r="B810" s="5">
        <v>45335</v>
      </c>
      <c r="C810" t="s">
        <v>2018</v>
      </c>
      <c r="E810" t="s">
        <v>2409</v>
      </c>
      <c r="F810">
        <v>3</v>
      </c>
      <c r="G810" s="7">
        <v>134.05000000000001</v>
      </c>
      <c r="H810" s="3" t="s">
        <v>2936</v>
      </c>
      <c r="I810" s="3" t="s">
        <v>3067</v>
      </c>
      <c r="J810" s="3" t="s">
        <v>3070</v>
      </c>
      <c r="K810" s="3" t="s">
        <v>3883</v>
      </c>
      <c r="L810" s="3">
        <v>3</v>
      </c>
      <c r="N810" s="3" t="s">
        <v>4282</v>
      </c>
      <c r="O810" s="7">
        <v>402.15</v>
      </c>
      <c r="P810" s="3">
        <f t="shared" si="23"/>
        <v>402.15000000000003</v>
      </c>
    </row>
    <row r="811" spans="1:16" x14ac:dyDescent="0.35">
      <c r="A811" t="s">
        <v>823</v>
      </c>
      <c r="B811" s="5">
        <v>45391</v>
      </c>
      <c r="C811" t="s">
        <v>2019</v>
      </c>
      <c r="E811" t="s">
        <v>2409</v>
      </c>
      <c r="F811">
        <v>5</v>
      </c>
      <c r="G811" s="7">
        <v>217.43</v>
      </c>
      <c r="H811" s="3" t="s">
        <v>2470</v>
      </c>
      <c r="I811" s="3" t="s">
        <v>3065</v>
      </c>
      <c r="J811" s="3" t="s">
        <v>3070</v>
      </c>
      <c r="K811" s="3" t="s">
        <v>3884</v>
      </c>
      <c r="L811" s="3">
        <v>10</v>
      </c>
      <c r="M811" s="10" t="s">
        <v>4275</v>
      </c>
      <c r="N811" s="3" t="s">
        <v>4278</v>
      </c>
      <c r="O811" s="7">
        <v>1087.1500000000001</v>
      </c>
      <c r="P811" s="3">
        <f t="shared" si="23"/>
        <v>1087.1500000000001</v>
      </c>
    </row>
    <row r="812" spans="1:16" x14ac:dyDescent="0.35">
      <c r="A812" t="s">
        <v>824</v>
      </c>
      <c r="B812" s="5">
        <v>45077</v>
      </c>
      <c r="C812" t="s">
        <v>2020</v>
      </c>
      <c r="E812" t="s">
        <v>2405</v>
      </c>
      <c r="F812">
        <v>1</v>
      </c>
      <c r="G812" s="7">
        <v>553.55999999999995</v>
      </c>
      <c r="H812" s="3" t="s">
        <v>2937</v>
      </c>
      <c r="I812" s="3" t="s">
        <v>3067</v>
      </c>
      <c r="J812" s="3" t="s">
        <v>3071</v>
      </c>
      <c r="K812" s="3" t="s">
        <v>3885</v>
      </c>
      <c r="L812" s="3">
        <v>5</v>
      </c>
      <c r="N812" s="3" t="s">
        <v>4279</v>
      </c>
      <c r="O812" s="7">
        <v>553.55999999999995</v>
      </c>
      <c r="P812" s="3">
        <f t="shared" si="23"/>
        <v>553.55999999999995</v>
      </c>
    </row>
    <row r="813" spans="1:16" x14ac:dyDescent="0.35">
      <c r="A813" t="s">
        <v>825</v>
      </c>
      <c r="B813" s="5">
        <v>45235</v>
      </c>
      <c r="C813" t="s">
        <v>2021</v>
      </c>
      <c r="E813" t="s">
        <v>2408</v>
      </c>
      <c r="F813">
        <v>2</v>
      </c>
      <c r="G813" s="7">
        <v>28.55</v>
      </c>
      <c r="H813" s="3" t="s">
        <v>2907</v>
      </c>
      <c r="I813" s="3" t="s">
        <v>3068</v>
      </c>
      <c r="J813" s="3" t="s">
        <v>3070</v>
      </c>
      <c r="K813" s="3" t="s">
        <v>3886</v>
      </c>
      <c r="L813" s="3">
        <v>7</v>
      </c>
      <c r="M813" s="10" t="s">
        <v>4275</v>
      </c>
      <c r="N813" s="3" t="s">
        <v>4280</v>
      </c>
      <c r="O813" s="7">
        <v>57.1</v>
      </c>
      <c r="P813" s="3">
        <f t="shared" si="23"/>
        <v>57.1</v>
      </c>
    </row>
    <row r="814" spans="1:16" x14ac:dyDescent="0.35">
      <c r="A814" t="s">
        <v>826</v>
      </c>
      <c r="B814" s="5">
        <v>45317</v>
      </c>
      <c r="C814" t="s">
        <v>2022</v>
      </c>
      <c r="E814" t="s">
        <v>2404</v>
      </c>
      <c r="F814">
        <v>2</v>
      </c>
      <c r="G814" s="7">
        <v>255.26</v>
      </c>
      <c r="H814" s="3" t="s">
        <v>2638</v>
      </c>
      <c r="I814" s="3" t="s">
        <v>3067</v>
      </c>
      <c r="J814" s="3" t="s">
        <v>3071</v>
      </c>
      <c r="K814" s="3" t="s">
        <v>3887</v>
      </c>
      <c r="L814" s="3">
        <v>6</v>
      </c>
      <c r="M814" s="10" t="s">
        <v>4276</v>
      </c>
      <c r="N814" s="3" t="s">
        <v>4282</v>
      </c>
      <c r="O814" s="7">
        <v>510.52</v>
      </c>
      <c r="P814" s="3">
        <f t="shared" si="23"/>
        <v>510.52</v>
      </c>
    </row>
    <row r="815" spans="1:16" x14ac:dyDescent="0.35">
      <c r="A815" t="s">
        <v>827</v>
      </c>
      <c r="B815" s="5">
        <v>45731</v>
      </c>
      <c r="C815" t="s">
        <v>2023</v>
      </c>
      <c r="E815" t="s">
        <v>2408</v>
      </c>
      <c r="F815">
        <v>5</v>
      </c>
      <c r="G815" s="7">
        <v>292.54000000000002</v>
      </c>
      <c r="H815" s="3" t="s">
        <v>2649</v>
      </c>
      <c r="I815" s="3" t="s">
        <v>3065</v>
      </c>
      <c r="J815" s="3" t="s">
        <v>3071</v>
      </c>
      <c r="K815" s="3" t="s">
        <v>3888</v>
      </c>
      <c r="L815" s="3">
        <v>8</v>
      </c>
      <c r="M815" s="10" t="s">
        <v>4276</v>
      </c>
      <c r="N815" s="3" t="s">
        <v>4280</v>
      </c>
      <c r="O815" s="7">
        <v>1462.7</v>
      </c>
      <c r="P815" s="3">
        <f t="shared" si="23"/>
        <v>1462.7</v>
      </c>
    </row>
    <row r="816" spans="1:16" x14ac:dyDescent="0.35">
      <c r="A816" t="s">
        <v>828</v>
      </c>
      <c r="B816" s="5">
        <v>45637</v>
      </c>
      <c r="C816" t="s">
        <v>2024</v>
      </c>
      <c r="E816" t="s">
        <v>2406</v>
      </c>
      <c r="F816">
        <v>4</v>
      </c>
      <c r="G816" s="7">
        <v>147.51</v>
      </c>
      <c r="H816" s="3" t="s">
        <v>2938</v>
      </c>
      <c r="I816" s="3" t="s">
        <v>3065</v>
      </c>
      <c r="J816" s="3" t="s">
        <v>3074</v>
      </c>
      <c r="K816" s="3" t="s">
        <v>3889</v>
      </c>
      <c r="L816" s="3">
        <v>4</v>
      </c>
      <c r="M816" s="10" t="s">
        <v>4277</v>
      </c>
      <c r="N816" s="3" t="s">
        <v>4278</v>
      </c>
      <c r="O816" s="7">
        <v>590.04</v>
      </c>
      <c r="P816" s="3">
        <f t="shared" si="23"/>
        <v>590.04</v>
      </c>
    </row>
    <row r="817" spans="1:16" x14ac:dyDescent="0.35">
      <c r="A817" t="s">
        <v>829</v>
      </c>
      <c r="B817" s="5">
        <v>45508</v>
      </c>
      <c r="C817" t="s">
        <v>2025</v>
      </c>
      <c r="E817" t="s">
        <v>2407</v>
      </c>
      <c r="F817">
        <v>3</v>
      </c>
      <c r="G817" s="7">
        <v>569.84</v>
      </c>
      <c r="H817" s="3" t="s">
        <v>2939</v>
      </c>
      <c r="I817" s="3" t="s">
        <v>3068</v>
      </c>
      <c r="J817" s="3" t="s">
        <v>3071</v>
      </c>
      <c r="K817" s="3" t="s">
        <v>3890</v>
      </c>
      <c r="L817" s="3">
        <v>8</v>
      </c>
      <c r="M817" s="10" t="s">
        <v>4277</v>
      </c>
      <c r="N817" s="3" t="s">
        <v>4278</v>
      </c>
      <c r="O817" s="7">
        <v>1709.52</v>
      </c>
      <c r="P817" s="3">
        <f t="shared" si="23"/>
        <v>1709.52</v>
      </c>
    </row>
    <row r="818" spans="1:16" x14ac:dyDescent="0.35">
      <c r="A818" t="s">
        <v>830</v>
      </c>
      <c r="B818" s="5">
        <v>45343</v>
      </c>
      <c r="C818" t="s">
        <v>2026</v>
      </c>
      <c r="E818" t="s">
        <v>2405</v>
      </c>
      <c r="F818">
        <v>5</v>
      </c>
      <c r="G818" s="7">
        <v>574.79</v>
      </c>
      <c r="H818" s="3" t="s">
        <v>2601</v>
      </c>
      <c r="I818" s="3" t="s">
        <v>3067</v>
      </c>
      <c r="J818" s="3" t="s">
        <v>3074</v>
      </c>
      <c r="K818" s="3" t="s">
        <v>3891</v>
      </c>
      <c r="L818" s="3">
        <v>8</v>
      </c>
      <c r="M818" s="10" t="s">
        <v>4277</v>
      </c>
      <c r="N818" s="3" t="s">
        <v>4279</v>
      </c>
      <c r="O818" s="7">
        <v>2873.95</v>
      </c>
      <c r="P818" s="3">
        <f t="shared" si="23"/>
        <v>2873.95</v>
      </c>
    </row>
    <row r="819" spans="1:16" x14ac:dyDescent="0.35">
      <c r="A819" t="s">
        <v>831</v>
      </c>
      <c r="B819" s="5">
        <v>45204</v>
      </c>
      <c r="C819" t="s">
        <v>2027</v>
      </c>
      <c r="E819" t="s">
        <v>2406</v>
      </c>
      <c r="F819">
        <v>4</v>
      </c>
      <c r="G819" s="7">
        <v>598.19000000000005</v>
      </c>
      <c r="H819" s="3" t="s">
        <v>2940</v>
      </c>
      <c r="I819" s="3" t="s">
        <v>3067</v>
      </c>
      <c r="J819" s="3" t="s">
        <v>3073</v>
      </c>
      <c r="K819" s="3" t="s">
        <v>3892</v>
      </c>
      <c r="L819" s="3">
        <v>7</v>
      </c>
      <c r="M819" s="10" t="s">
        <v>4277</v>
      </c>
      <c r="N819" s="3" t="s">
        <v>4280</v>
      </c>
      <c r="O819" s="7">
        <v>2392.7600000000002</v>
      </c>
      <c r="P819" s="3">
        <f t="shared" si="23"/>
        <v>2392.7600000000002</v>
      </c>
    </row>
    <row r="820" spans="1:16" x14ac:dyDescent="0.35">
      <c r="A820" t="s">
        <v>832</v>
      </c>
      <c r="B820" s="5">
        <v>44987</v>
      </c>
      <c r="C820" t="s">
        <v>2028</v>
      </c>
      <c r="E820" t="s">
        <v>2404</v>
      </c>
      <c r="F820">
        <v>4</v>
      </c>
      <c r="G820" s="7">
        <v>390.84</v>
      </c>
      <c r="H820" s="3" t="s">
        <v>2868</v>
      </c>
      <c r="I820" s="3" t="s">
        <v>3067</v>
      </c>
      <c r="J820" s="3" t="s">
        <v>3071</v>
      </c>
      <c r="K820" s="3" t="s">
        <v>3893</v>
      </c>
      <c r="L820" s="3">
        <v>9</v>
      </c>
      <c r="M820" s="10" t="s">
        <v>4277</v>
      </c>
      <c r="N820" s="3" t="s">
        <v>4279</v>
      </c>
      <c r="O820" s="7">
        <v>1563.36</v>
      </c>
      <c r="P820" s="3">
        <f t="shared" si="23"/>
        <v>1563.36</v>
      </c>
    </row>
    <row r="821" spans="1:16" x14ac:dyDescent="0.35">
      <c r="A821" t="s">
        <v>833</v>
      </c>
      <c r="B821" s="5">
        <v>45563</v>
      </c>
      <c r="C821" t="s">
        <v>2029</v>
      </c>
      <c r="E821" t="s">
        <v>2404</v>
      </c>
      <c r="F821">
        <v>2</v>
      </c>
      <c r="G821" s="7">
        <v>398.45</v>
      </c>
      <c r="H821" s="3" t="s">
        <v>2941</v>
      </c>
      <c r="I821" s="3" t="s">
        <v>3065</v>
      </c>
      <c r="J821" s="3" t="s">
        <v>3071</v>
      </c>
      <c r="K821" s="3" t="s">
        <v>3894</v>
      </c>
      <c r="L821" s="3">
        <v>7</v>
      </c>
      <c r="M821" s="10" t="s">
        <v>4275</v>
      </c>
      <c r="N821" s="3" t="s">
        <v>4282</v>
      </c>
      <c r="O821" s="7">
        <v>796.9</v>
      </c>
      <c r="P821" s="3">
        <f t="shared" si="23"/>
        <v>796.9</v>
      </c>
    </row>
    <row r="822" spans="1:16" x14ac:dyDescent="0.35">
      <c r="A822" t="s">
        <v>834</v>
      </c>
      <c r="B822" s="5">
        <v>45073</v>
      </c>
      <c r="C822" t="s">
        <v>2030</v>
      </c>
      <c r="E822" t="s">
        <v>2404</v>
      </c>
      <c r="F822">
        <v>5</v>
      </c>
      <c r="G822" s="7">
        <v>623.80999999999995</v>
      </c>
      <c r="H822" s="3" t="s">
        <v>2706</v>
      </c>
      <c r="I822" s="3" t="s">
        <v>3069</v>
      </c>
      <c r="J822" s="3" t="s">
        <v>3072</v>
      </c>
      <c r="K822" s="3" t="s">
        <v>3895</v>
      </c>
      <c r="L822" s="3">
        <v>6</v>
      </c>
      <c r="M822" s="10" t="s">
        <v>4276</v>
      </c>
      <c r="N822" s="3" t="s">
        <v>4280</v>
      </c>
      <c r="O822" s="7">
        <v>3119.05</v>
      </c>
      <c r="P822" s="3">
        <f t="shared" si="23"/>
        <v>3119.0499999999997</v>
      </c>
    </row>
    <row r="823" spans="1:16" x14ac:dyDescent="0.35">
      <c r="A823" t="s">
        <v>835</v>
      </c>
      <c r="B823" s="5">
        <v>45640</v>
      </c>
      <c r="C823" t="s">
        <v>2031</v>
      </c>
      <c r="E823" t="s">
        <v>2408</v>
      </c>
      <c r="F823">
        <v>4</v>
      </c>
      <c r="G823" s="7">
        <v>174.49</v>
      </c>
      <c r="H823" s="3" t="s">
        <v>2698</v>
      </c>
      <c r="I823" s="3" t="s">
        <v>3067</v>
      </c>
      <c r="J823" s="3" t="s">
        <v>3073</v>
      </c>
      <c r="K823" s="3" t="s">
        <v>3896</v>
      </c>
      <c r="L823" s="3">
        <v>5</v>
      </c>
      <c r="M823" s="10" t="s">
        <v>4275</v>
      </c>
      <c r="N823" s="3" t="s">
        <v>4281</v>
      </c>
      <c r="O823" s="7">
        <v>697.96</v>
      </c>
      <c r="P823" s="3">
        <f t="shared" si="23"/>
        <v>697.96</v>
      </c>
    </row>
    <row r="824" spans="1:16" x14ac:dyDescent="0.35">
      <c r="A824" t="s">
        <v>836</v>
      </c>
      <c r="B824" s="5">
        <v>45731</v>
      </c>
      <c r="C824" t="s">
        <v>2032</v>
      </c>
      <c r="E824" t="s">
        <v>2404</v>
      </c>
      <c r="F824">
        <v>1</v>
      </c>
      <c r="G824" s="7">
        <v>479.56</v>
      </c>
      <c r="H824" s="3" t="s">
        <v>2476</v>
      </c>
      <c r="I824" s="3" t="s">
        <v>3068</v>
      </c>
      <c r="J824" s="3" t="s">
        <v>3072</v>
      </c>
      <c r="K824" s="3" t="s">
        <v>3897</v>
      </c>
      <c r="L824" s="3">
        <v>1</v>
      </c>
      <c r="M824" s="10" t="s">
        <v>4275</v>
      </c>
      <c r="N824" s="3" t="s">
        <v>4282</v>
      </c>
      <c r="O824" s="7">
        <v>479.56</v>
      </c>
      <c r="P824" s="3">
        <f t="shared" si="23"/>
        <v>479.56</v>
      </c>
    </row>
    <row r="825" spans="1:16" x14ac:dyDescent="0.35">
      <c r="A825" t="s">
        <v>837</v>
      </c>
      <c r="B825" s="5">
        <v>45572</v>
      </c>
      <c r="C825" t="s">
        <v>2033</v>
      </c>
      <c r="E825" t="s">
        <v>2408</v>
      </c>
      <c r="F825">
        <v>4</v>
      </c>
      <c r="G825" s="7">
        <v>653.13</v>
      </c>
      <c r="H825" s="3" t="s">
        <v>2942</v>
      </c>
      <c r="I825" s="3" t="s">
        <v>3067</v>
      </c>
      <c r="J825" s="3" t="s">
        <v>3070</v>
      </c>
      <c r="K825" s="3" t="s">
        <v>3898</v>
      </c>
      <c r="L825" s="3">
        <v>8</v>
      </c>
      <c r="M825" s="10" t="s">
        <v>4277</v>
      </c>
      <c r="N825" s="3" t="s">
        <v>4278</v>
      </c>
      <c r="O825" s="7">
        <v>2612.52</v>
      </c>
      <c r="P825" s="3">
        <f t="shared" si="23"/>
        <v>2612.52</v>
      </c>
    </row>
    <row r="826" spans="1:16" x14ac:dyDescent="0.35">
      <c r="A826" t="s">
        <v>838</v>
      </c>
      <c r="B826" s="5">
        <v>45167</v>
      </c>
      <c r="C826" t="s">
        <v>2034</v>
      </c>
      <c r="E826" t="s">
        <v>2403</v>
      </c>
      <c r="F826">
        <v>3</v>
      </c>
      <c r="G826" s="7">
        <v>481.1</v>
      </c>
      <c r="H826" s="3" t="s">
        <v>2943</v>
      </c>
      <c r="I826" s="3" t="s">
        <v>3067</v>
      </c>
      <c r="J826" s="3" t="s">
        <v>3072</v>
      </c>
      <c r="K826" s="3" t="s">
        <v>3899</v>
      </c>
      <c r="L826" s="3">
        <v>3</v>
      </c>
      <c r="M826" s="10" t="s">
        <v>4276</v>
      </c>
      <c r="N826" s="3" t="s">
        <v>4281</v>
      </c>
      <c r="O826" s="7">
        <v>1443.3</v>
      </c>
      <c r="P826" s="3">
        <f t="shared" si="23"/>
        <v>1443.3000000000002</v>
      </c>
    </row>
    <row r="827" spans="1:16" x14ac:dyDescent="0.35">
      <c r="A827" t="s">
        <v>839</v>
      </c>
      <c r="B827" s="5">
        <v>45742</v>
      </c>
      <c r="C827" t="s">
        <v>2035</v>
      </c>
      <c r="E827" t="s">
        <v>2409</v>
      </c>
      <c r="F827">
        <v>5</v>
      </c>
      <c r="G827" s="7">
        <v>271.69</v>
      </c>
      <c r="H827" s="3" t="s">
        <v>2944</v>
      </c>
      <c r="I827" s="3" t="s">
        <v>3066</v>
      </c>
      <c r="J827" s="3" t="s">
        <v>3072</v>
      </c>
      <c r="K827" s="3" t="s">
        <v>3900</v>
      </c>
      <c r="L827" s="3">
        <v>7</v>
      </c>
      <c r="M827" s="10" t="s">
        <v>4276</v>
      </c>
      <c r="N827" s="3" t="s">
        <v>4278</v>
      </c>
      <c r="O827" s="7">
        <v>1358.45</v>
      </c>
      <c r="P827" s="3">
        <f t="shared" si="23"/>
        <v>1358.45</v>
      </c>
    </row>
    <row r="828" spans="1:16" x14ac:dyDescent="0.35">
      <c r="A828" t="s">
        <v>840</v>
      </c>
      <c r="B828" s="5">
        <v>45724</v>
      </c>
      <c r="C828" t="s">
        <v>2036</v>
      </c>
      <c r="E828" t="s">
        <v>2407</v>
      </c>
      <c r="F828">
        <v>3</v>
      </c>
      <c r="G828" s="7">
        <v>463.81</v>
      </c>
      <c r="H828" s="3" t="s">
        <v>2570</v>
      </c>
      <c r="I828" s="3" t="s">
        <v>3066</v>
      </c>
      <c r="J828" s="3" t="s">
        <v>3072</v>
      </c>
      <c r="K828" s="3" t="s">
        <v>3901</v>
      </c>
      <c r="L828" s="3">
        <v>8</v>
      </c>
      <c r="M828" s="10" t="s">
        <v>4277</v>
      </c>
      <c r="N828" s="3" t="s">
        <v>4280</v>
      </c>
      <c r="O828" s="7">
        <v>1391.43</v>
      </c>
      <c r="P828" s="3">
        <f t="shared" si="23"/>
        <v>1391.43</v>
      </c>
    </row>
    <row r="829" spans="1:16" x14ac:dyDescent="0.35">
      <c r="A829" t="s">
        <v>841</v>
      </c>
      <c r="B829" s="5">
        <v>45071</v>
      </c>
      <c r="C829" t="s">
        <v>2037</v>
      </c>
      <c r="E829" t="s">
        <v>2405</v>
      </c>
      <c r="F829">
        <v>2</v>
      </c>
      <c r="G829" s="7">
        <v>639.88</v>
      </c>
      <c r="H829" s="3" t="s">
        <v>2597</v>
      </c>
      <c r="I829" s="3" t="s">
        <v>3069</v>
      </c>
      <c r="J829" s="3" t="s">
        <v>3073</v>
      </c>
      <c r="K829" s="3" t="s">
        <v>3902</v>
      </c>
      <c r="L829" s="3">
        <v>5</v>
      </c>
      <c r="M829" s="10" t="s">
        <v>4277</v>
      </c>
      <c r="N829" s="3" t="s">
        <v>4278</v>
      </c>
      <c r="O829" s="7">
        <v>1279.76</v>
      </c>
      <c r="P829" s="3">
        <f t="shared" si="23"/>
        <v>1279.76</v>
      </c>
    </row>
    <row r="830" spans="1:16" x14ac:dyDescent="0.35">
      <c r="A830" t="s">
        <v>842</v>
      </c>
      <c r="B830" s="5">
        <v>45497</v>
      </c>
      <c r="C830" t="s">
        <v>2038</v>
      </c>
      <c r="E830" t="s">
        <v>2406</v>
      </c>
      <c r="F830">
        <v>4</v>
      </c>
      <c r="G830" s="7">
        <v>404.58</v>
      </c>
      <c r="H830" s="3" t="s">
        <v>2945</v>
      </c>
      <c r="I830" s="3" t="s">
        <v>3069</v>
      </c>
      <c r="J830" s="3" t="s">
        <v>3070</v>
      </c>
      <c r="K830" s="3" t="s">
        <v>3903</v>
      </c>
      <c r="L830" s="3">
        <v>5</v>
      </c>
      <c r="M830" s="10" t="s">
        <v>4276</v>
      </c>
      <c r="N830" s="3" t="s">
        <v>4278</v>
      </c>
      <c r="O830" s="7">
        <v>1618.32</v>
      </c>
      <c r="P830" s="3">
        <f t="shared" si="23"/>
        <v>1618.32</v>
      </c>
    </row>
    <row r="831" spans="1:16" x14ac:dyDescent="0.35">
      <c r="A831" t="s">
        <v>843</v>
      </c>
      <c r="B831" s="5">
        <v>44962</v>
      </c>
      <c r="C831" t="s">
        <v>2039</v>
      </c>
      <c r="E831" t="s">
        <v>2403</v>
      </c>
      <c r="F831">
        <v>1</v>
      </c>
      <c r="G831" s="7">
        <v>76.930000000000007</v>
      </c>
      <c r="H831" s="3" t="s">
        <v>2946</v>
      </c>
      <c r="I831" s="3" t="s">
        <v>3065</v>
      </c>
      <c r="J831" s="3" t="s">
        <v>3073</v>
      </c>
      <c r="K831" s="3" t="s">
        <v>3904</v>
      </c>
      <c r="L831" s="3">
        <v>6</v>
      </c>
      <c r="M831" s="10" t="s">
        <v>4277</v>
      </c>
      <c r="N831" s="3" t="s">
        <v>4278</v>
      </c>
      <c r="O831" s="7">
        <v>76.930000000000007</v>
      </c>
      <c r="P831" s="3">
        <f t="shared" si="23"/>
        <v>76.930000000000007</v>
      </c>
    </row>
    <row r="832" spans="1:16" x14ac:dyDescent="0.35">
      <c r="A832" t="s">
        <v>844</v>
      </c>
      <c r="B832" s="5">
        <v>45637</v>
      </c>
      <c r="C832" t="s">
        <v>2040</v>
      </c>
      <c r="E832" t="s">
        <v>2405</v>
      </c>
      <c r="F832">
        <v>4</v>
      </c>
      <c r="G832" s="7">
        <v>190.64</v>
      </c>
      <c r="H832" s="3" t="s">
        <v>2947</v>
      </c>
      <c r="I832" s="3" t="s">
        <v>3069</v>
      </c>
      <c r="J832" s="3" t="s">
        <v>3073</v>
      </c>
      <c r="K832" s="3" t="s">
        <v>3905</v>
      </c>
      <c r="L832" s="3">
        <v>5</v>
      </c>
      <c r="M832" s="10" t="s">
        <v>4275</v>
      </c>
      <c r="N832" s="3" t="s">
        <v>4280</v>
      </c>
      <c r="O832" s="7">
        <v>762.56</v>
      </c>
      <c r="P832" s="3">
        <f t="shared" si="23"/>
        <v>762.56</v>
      </c>
    </row>
    <row r="833" spans="1:16" x14ac:dyDescent="0.35">
      <c r="A833" t="s">
        <v>845</v>
      </c>
      <c r="B833" s="5">
        <v>45278</v>
      </c>
      <c r="C833" t="s">
        <v>2041</v>
      </c>
      <c r="E833" t="s">
        <v>2407</v>
      </c>
      <c r="F833">
        <v>2</v>
      </c>
      <c r="G833" s="7">
        <v>88.73</v>
      </c>
      <c r="H833" s="3" t="s">
        <v>2851</v>
      </c>
      <c r="I833" s="3" t="s">
        <v>3066</v>
      </c>
      <c r="J833" s="3" t="s">
        <v>3074</v>
      </c>
      <c r="K833" s="3" t="s">
        <v>3906</v>
      </c>
      <c r="L833" s="3">
        <v>5</v>
      </c>
      <c r="N833" s="3" t="s">
        <v>4282</v>
      </c>
      <c r="O833" s="7">
        <v>177.46</v>
      </c>
      <c r="P833" s="3">
        <f t="shared" si="23"/>
        <v>177.46</v>
      </c>
    </row>
    <row r="834" spans="1:16" x14ac:dyDescent="0.35">
      <c r="A834" t="s">
        <v>846</v>
      </c>
      <c r="B834" s="5">
        <v>45363</v>
      </c>
      <c r="C834" t="s">
        <v>2042</v>
      </c>
      <c r="E834" t="s">
        <v>2406</v>
      </c>
      <c r="F834">
        <v>5</v>
      </c>
      <c r="G834" s="7">
        <v>485.71</v>
      </c>
      <c r="H834" s="3" t="s">
        <v>2423</v>
      </c>
      <c r="I834" s="3" t="s">
        <v>3066</v>
      </c>
      <c r="J834" s="3" t="s">
        <v>3074</v>
      </c>
      <c r="K834" s="3" t="s">
        <v>3907</v>
      </c>
      <c r="L834" s="3">
        <v>10</v>
      </c>
      <c r="M834" s="10" t="s">
        <v>4275</v>
      </c>
      <c r="N834" s="3" t="s">
        <v>4279</v>
      </c>
      <c r="O834" s="7">
        <v>2428.5500000000002</v>
      </c>
      <c r="P834" s="3">
        <f t="shared" si="23"/>
        <v>2428.5499999999997</v>
      </c>
    </row>
    <row r="835" spans="1:16" x14ac:dyDescent="0.35">
      <c r="A835" t="s">
        <v>847</v>
      </c>
      <c r="B835" s="5">
        <v>45730</v>
      </c>
      <c r="C835" t="s">
        <v>2043</v>
      </c>
      <c r="E835" t="s">
        <v>2404</v>
      </c>
      <c r="F835">
        <v>5</v>
      </c>
      <c r="G835" s="7">
        <v>78.290000000000006</v>
      </c>
      <c r="H835" s="3" t="s">
        <v>2948</v>
      </c>
      <c r="I835" s="3" t="s">
        <v>3067</v>
      </c>
      <c r="J835" s="3" t="s">
        <v>3070</v>
      </c>
      <c r="K835" s="3" t="s">
        <v>3908</v>
      </c>
      <c r="L835" s="3">
        <v>5</v>
      </c>
      <c r="M835" s="10" t="s">
        <v>4277</v>
      </c>
      <c r="N835" s="3" t="s">
        <v>4279</v>
      </c>
      <c r="O835" s="7">
        <v>391.45</v>
      </c>
      <c r="P835" s="3">
        <f t="shared" ref="P835:P898" si="24">G835*F835</f>
        <v>391.45000000000005</v>
      </c>
    </row>
    <row r="836" spans="1:16" x14ac:dyDescent="0.35">
      <c r="A836" t="s">
        <v>848</v>
      </c>
      <c r="B836" s="5">
        <v>45393</v>
      </c>
      <c r="C836" t="s">
        <v>2044</v>
      </c>
      <c r="E836" t="s">
        <v>2407</v>
      </c>
      <c r="F836">
        <v>5</v>
      </c>
      <c r="G836" s="7">
        <v>22.14</v>
      </c>
      <c r="H836" s="3" t="s">
        <v>2616</v>
      </c>
      <c r="I836" s="3" t="s">
        <v>3069</v>
      </c>
      <c r="J836" s="3" t="s">
        <v>3072</v>
      </c>
      <c r="K836" s="3" t="s">
        <v>3909</v>
      </c>
      <c r="L836" s="3">
        <v>10</v>
      </c>
      <c r="N836" s="3" t="s">
        <v>4278</v>
      </c>
      <c r="O836" s="7">
        <v>110.7</v>
      </c>
      <c r="P836" s="3">
        <f t="shared" si="24"/>
        <v>110.7</v>
      </c>
    </row>
    <row r="837" spans="1:16" x14ac:dyDescent="0.35">
      <c r="A837" t="s">
        <v>849</v>
      </c>
      <c r="B837" s="5">
        <v>45377</v>
      </c>
      <c r="C837" t="s">
        <v>2045</v>
      </c>
      <c r="E837" t="s">
        <v>2409</v>
      </c>
      <c r="F837">
        <v>1</v>
      </c>
      <c r="G837" s="7">
        <v>679.65</v>
      </c>
      <c r="H837" s="3" t="s">
        <v>2949</v>
      </c>
      <c r="I837" s="3" t="s">
        <v>3065</v>
      </c>
      <c r="J837" s="3" t="s">
        <v>3070</v>
      </c>
      <c r="K837" s="3" t="s">
        <v>3910</v>
      </c>
      <c r="L837" s="3">
        <v>6</v>
      </c>
      <c r="M837" s="10" t="s">
        <v>4276</v>
      </c>
      <c r="N837" s="3" t="s">
        <v>4282</v>
      </c>
      <c r="O837" s="7">
        <v>679.65</v>
      </c>
      <c r="P837" s="3">
        <f t="shared" si="24"/>
        <v>679.65</v>
      </c>
    </row>
    <row r="838" spans="1:16" x14ac:dyDescent="0.35">
      <c r="A838" t="s">
        <v>850</v>
      </c>
      <c r="B838" s="5">
        <v>44959</v>
      </c>
      <c r="C838" t="s">
        <v>2046</v>
      </c>
      <c r="E838" t="s">
        <v>2404</v>
      </c>
      <c r="F838">
        <v>1</v>
      </c>
      <c r="G838" s="7">
        <v>178.44</v>
      </c>
      <c r="H838" s="3" t="s">
        <v>2860</v>
      </c>
      <c r="I838" s="3" t="s">
        <v>3067</v>
      </c>
      <c r="J838" s="3" t="s">
        <v>3071</v>
      </c>
      <c r="K838" s="3" t="s">
        <v>3911</v>
      </c>
      <c r="L838" s="3">
        <v>2</v>
      </c>
      <c r="M838" s="10" t="s">
        <v>4276</v>
      </c>
      <c r="N838" s="3" t="s">
        <v>4282</v>
      </c>
      <c r="O838" s="7">
        <v>178.44</v>
      </c>
      <c r="P838" s="3">
        <f t="shared" si="24"/>
        <v>178.44</v>
      </c>
    </row>
    <row r="839" spans="1:16" x14ac:dyDescent="0.35">
      <c r="A839" t="s">
        <v>851</v>
      </c>
      <c r="B839" s="5">
        <v>45822</v>
      </c>
      <c r="C839" t="s">
        <v>2047</v>
      </c>
      <c r="E839" t="s">
        <v>2406</v>
      </c>
      <c r="F839">
        <v>5</v>
      </c>
      <c r="G839" s="7">
        <v>655.55</v>
      </c>
      <c r="H839" s="3" t="s">
        <v>2839</v>
      </c>
      <c r="I839" s="3" t="s">
        <v>3066</v>
      </c>
      <c r="J839" s="3" t="s">
        <v>3073</v>
      </c>
      <c r="K839" s="3" t="s">
        <v>3912</v>
      </c>
      <c r="L839" s="3">
        <v>5</v>
      </c>
      <c r="N839" s="3" t="s">
        <v>4280</v>
      </c>
      <c r="O839" s="7">
        <v>3277.75</v>
      </c>
      <c r="P839" s="3">
        <f t="shared" si="24"/>
        <v>3277.75</v>
      </c>
    </row>
    <row r="840" spans="1:16" x14ac:dyDescent="0.35">
      <c r="A840" t="s">
        <v>852</v>
      </c>
      <c r="B840" s="5">
        <v>45393</v>
      </c>
      <c r="C840" t="s">
        <v>2048</v>
      </c>
      <c r="E840" t="s">
        <v>2409</v>
      </c>
      <c r="F840">
        <v>4</v>
      </c>
      <c r="G840" s="7">
        <v>577.08000000000004</v>
      </c>
      <c r="H840" s="3" t="s">
        <v>2475</v>
      </c>
      <c r="I840" s="3" t="s">
        <v>3066</v>
      </c>
      <c r="J840" s="3" t="s">
        <v>3074</v>
      </c>
      <c r="K840" s="3" t="s">
        <v>3913</v>
      </c>
      <c r="L840" s="3">
        <v>8</v>
      </c>
      <c r="N840" s="3" t="s">
        <v>4281</v>
      </c>
      <c r="O840" s="7">
        <v>2308.3200000000002</v>
      </c>
      <c r="P840" s="3">
        <f t="shared" si="24"/>
        <v>2308.3200000000002</v>
      </c>
    </row>
    <row r="841" spans="1:16" x14ac:dyDescent="0.35">
      <c r="A841" t="s">
        <v>853</v>
      </c>
      <c r="B841" s="5">
        <v>45162</v>
      </c>
      <c r="C841" t="s">
        <v>2049</v>
      </c>
      <c r="E841" t="s">
        <v>2406</v>
      </c>
      <c r="F841">
        <v>3</v>
      </c>
      <c r="G841" s="7">
        <v>197.97</v>
      </c>
      <c r="H841" s="3" t="s">
        <v>2902</v>
      </c>
      <c r="I841" s="3" t="s">
        <v>3066</v>
      </c>
      <c r="J841" s="3" t="s">
        <v>3071</v>
      </c>
      <c r="K841" s="3" t="s">
        <v>3914</v>
      </c>
      <c r="L841" s="3">
        <v>5</v>
      </c>
      <c r="N841" s="3" t="s">
        <v>4282</v>
      </c>
      <c r="O841" s="7">
        <v>593.91</v>
      </c>
      <c r="P841" s="3">
        <f t="shared" si="24"/>
        <v>593.91</v>
      </c>
    </row>
    <row r="842" spans="1:16" x14ac:dyDescent="0.35">
      <c r="A842" t="s">
        <v>854</v>
      </c>
      <c r="B842" s="5">
        <v>45305</v>
      </c>
      <c r="C842" t="s">
        <v>2050</v>
      </c>
      <c r="E842" t="s">
        <v>2406</v>
      </c>
      <c r="F842">
        <v>3</v>
      </c>
      <c r="G842" s="7">
        <v>411.95</v>
      </c>
      <c r="H842" s="3" t="s">
        <v>2774</v>
      </c>
      <c r="I842" s="3" t="s">
        <v>3067</v>
      </c>
      <c r="J842" s="3" t="s">
        <v>3073</v>
      </c>
      <c r="K842" s="3" t="s">
        <v>3915</v>
      </c>
      <c r="L842" s="3">
        <v>7</v>
      </c>
      <c r="M842" s="10" t="s">
        <v>4276</v>
      </c>
      <c r="N842" s="3" t="s">
        <v>4279</v>
      </c>
      <c r="O842" s="7">
        <v>1235.8499999999999</v>
      </c>
      <c r="P842" s="3">
        <f t="shared" si="24"/>
        <v>1235.8499999999999</v>
      </c>
    </row>
    <row r="843" spans="1:16" x14ac:dyDescent="0.35">
      <c r="A843" t="s">
        <v>855</v>
      </c>
      <c r="B843" s="5">
        <v>45554</v>
      </c>
      <c r="C843" t="s">
        <v>2051</v>
      </c>
      <c r="E843" t="s">
        <v>2407</v>
      </c>
      <c r="F843">
        <v>2</v>
      </c>
      <c r="G843" s="7">
        <v>443.22</v>
      </c>
      <c r="H843" s="3" t="s">
        <v>2950</v>
      </c>
      <c r="I843" s="3" t="s">
        <v>3067</v>
      </c>
      <c r="J843" s="3" t="s">
        <v>3073</v>
      </c>
      <c r="K843" s="3" t="s">
        <v>3916</v>
      </c>
      <c r="L843" s="3">
        <v>5</v>
      </c>
      <c r="N843" s="3" t="s">
        <v>4281</v>
      </c>
      <c r="O843" s="7">
        <v>886.44</v>
      </c>
      <c r="P843" s="3">
        <f t="shared" si="24"/>
        <v>886.44</v>
      </c>
    </row>
    <row r="844" spans="1:16" x14ac:dyDescent="0.35">
      <c r="A844" t="s">
        <v>856</v>
      </c>
      <c r="B844" s="5">
        <v>45784</v>
      </c>
      <c r="C844" t="s">
        <v>2052</v>
      </c>
      <c r="E844" t="s">
        <v>2408</v>
      </c>
      <c r="F844">
        <v>3</v>
      </c>
      <c r="G844" s="7">
        <v>364.14</v>
      </c>
      <c r="H844" s="3" t="s">
        <v>2877</v>
      </c>
      <c r="I844" s="3" t="s">
        <v>3066</v>
      </c>
      <c r="J844" s="3" t="s">
        <v>3074</v>
      </c>
      <c r="K844" s="3" t="s">
        <v>3917</v>
      </c>
      <c r="L844" s="3">
        <v>7</v>
      </c>
      <c r="M844" s="10" t="s">
        <v>4277</v>
      </c>
      <c r="N844" s="3" t="s">
        <v>4279</v>
      </c>
      <c r="O844" s="7">
        <v>1092.42</v>
      </c>
      <c r="P844" s="3">
        <f t="shared" si="24"/>
        <v>1092.42</v>
      </c>
    </row>
    <row r="845" spans="1:16" x14ac:dyDescent="0.35">
      <c r="A845" t="s">
        <v>857</v>
      </c>
      <c r="B845" s="5">
        <v>45790</v>
      </c>
      <c r="C845" t="s">
        <v>2053</v>
      </c>
      <c r="E845" t="s">
        <v>2409</v>
      </c>
      <c r="F845">
        <v>3</v>
      </c>
      <c r="G845" s="7">
        <v>430.06</v>
      </c>
      <c r="H845" s="3" t="s">
        <v>2951</v>
      </c>
      <c r="I845" s="3" t="s">
        <v>3068</v>
      </c>
      <c r="J845" s="3" t="s">
        <v>3071</v>
      </c>
      <c r="K845" s="3" t="s">
        <v>3918</v>
      </c>
      <c r="L845" s="3">
        <v>8</v>
      </c>
      <c r="M845" s="10" t="s">
        <v>4276</v>
      </c>
      <c r="N845" s="3" t="s">
        <v>4278</v>
      </c>
      <c r="O845" s="7">
        <v>1290.18</v>
      </c>
      <c r="P845" s="3">
        <f t="shared" si="24"/>
        <v>1290.18</v>
      </c>
    </row>
    <row r="846" spans="1:16" x14ac:dyDescent="0.35">
      <c r="A846" t="s">
        <v>858</v>
      </c>
      <c r="B846" s="5">
        <v>45630</v>
      </c>
      <c r="C846" t="s">
        <v>2054</v>
      </c>
      <c r="E846" t="s">
        <v>2406</v>
      </c>
      <c r="F846">
        <v>1</v>
      </c>
      <c r="G846" s="7">
        <v>320.92</v>
      </c>
      <c r="H846" s="3" t="s">
        <v>2952</v>
      </c>
      <c r="I846" s="3" t="s">
        <v>3066</v>
      </c>
      <c r="J846" s="3" t="s">
        <v>3072</v>
      </c>
      <c r="K846" s="3" t="s">
        <v>3919</v>
      </c>
      <c r="L846" s="3">
        <v>5</v>
      </c>
      <c r="M846" s="10" t="s">
        <v>4276</v>
      </c>
      <c r="N846" s="3" t="s">
        <v>4281</v>
      </c>
      <c r="O846" s="7">
        <v>320.92</v>
      </c>
      <c r="P846" s="3">
        <f t="shared" si="24"/>
        <v>320.92</v>
      </c>
    </row>
    <row r="847" spans="1:16" x14ac:dyDescent="0.35">
      <c r="A847" t="s">
        <v>859</v>
      </c>
      <c r="B847" s="5">
        <v>45207</v>
      </c>
      <c r="C847" t="s">
        <v>2055</v>
      </c>
      <c r="E847" t="s">
        <v>2404</v>
      </c>
      <c r="F847">
        <v>3</v>
      </c>
      <c r="G847" s="7">
        <v>107.36</v>
      </c>
      <c r="H847" s="3" t="s">
        <v>2953</v>
      </c>
      <c r="I847" s="3" t="s">
        <v>3068</v>
      </c>
      <c r="J847" s="3" t="s">
        <v>3073</v>
      </c>
      <c r="K847" s="3" t="s">
        <v>3920</v>
      </c>
      <c r="L847" s="3">
        <v>5</v>
      </c>
      <c r="M847" s="10" t="s">
        <v>4276</v>
      </c>
      <c r="N847" s="3" t="s">
        <v>4282</v>
      </c>
      <c r="O847" s="7">
        <v>322.08</v>
      </c>
      <c r="P847" s="3">
        <f t="shared" si="24"/>
        <v>322.08</v>
      </c>
    </row>
    <row r="848" spans="1:16" x14ac:dyDescent="0.35">
      <c r="A848" t="s">
        <v>860</v>
      </c>
      <c r="B848" s="5">
        <v>45477</v>
      </c>
      <c r="C848" t="s">
        <v>2056</v>
      </c>
      <c r="E848" t="s">
        <v>2409</v>
      </c>
      <c r="F848">
        <v>2</v>
      </c>
      <c r="G848" s="7">
        <v>359.86</v>
      </c>
      <c r="H848" s="3" t="s">
        <v>2954</v>
      </c>
      <c r="I848" s="3" t="s">
        <v>3065</v>
      </c>
      <c r="J848" s="3" t="s">
        <v>3071</v>
      </c>
      <c r="K848" s="3" t="s">
        <v>3921</v>
      </c>
      <c r="L848" s="3">
        <v>4</v>
      </c>
      <c r="N848" s="3" t="s">
        <v>4279</v>
      </c>
      <c r="O848" s="7">
        <v>719.72</v>
      </c>
      <c r="P848" s="3">
        <f t="shared" si="24"/>
        <v>719.72</v>
      </c>
    </row>
    <row r="849" spans="1:16" x14ac:dyDescent="0.35">
      <c r="A849" t="s">
        <v>861</v>
      </c>
      <c r="B849" s="5">
        <v>45614</v>
      </c>
      <c r="C849" t="s">
        <v>2057</v>
      </c>
      <c r="E849" t="s">
        <v>2407</v>
      </c>
      <c r="F849">
        <v>4</v>
      </c>
      <c r="G849" s="7">
        <v>434.23</v>
      </c>
      <c r="H849" s="3" t="s">
        <v>2657</v>
      </c>
      <c r="I849" s="3" t="s">
        <v>3066</v>
      </c>
      <c r="J849" s="3" t="s">
        <v>3070</v>
      </c>
      <c r="K849" s="3" t="s">
        <v>3922</v>
      </c>
      <c r="L849" s="3">
        <v>8</v>
      </c>
      <c r="M849" s="10" t="s">
        <v>4276</v>
      </c>
      <c r="N849" s="3" t="s">
        <v>4280</v>
      </c>
      <c r="O849" s="7">
        <v>1736.92</v>
      </c>
      <c r="P849" s="3">
        <f t="shared" si="24"/>
        <v>1736.92</v>
      </c>
    </row>
    <row r="850" spans="1:16" x14ac:dyDescent="0.35">
      <c r="A850" t="s">
        <v>862</v>
      </c>
      <c r="B850" s="5">
        <v>44927</v>
      </c>
      <c r="C850" t="s">
        <v>2058</v>
      </c>
      <c r="E850" t="s">
        <v>2406</v>
      </c>
      <c r="F850">
        <v>2</v>
      </c>
      <c r="G850" s="7">
        <v>645.85</v>
      </c>
      <c r="H850" s="3" t="s">
        <v>2466</v>
      </c>
      <c r="I850" s="3" t="s">
        <v>3066</v>
      </c>
      <c r="J850" s="3" t="s">
        <v>3070</v>
      </c>
      <c r="K850" s="3" t="s">
        <v>3923</v>
      </c>
      <c r="L850" s="3">
        <v>5</v>
      </c>
      <c r="N850" s="3" t="s">
        <v>4279</v>
      </c>
      <c r="O850" s="7">
        <v>1291.7</v>
      </c>
      <c r="P850" s="3">
        <f t="shared" si="24"/>
        <v>1291.7</v>
      </c>
    </row>
    <row r="851" spans="1:16" x14ac:dyDescent="0.35">
      <c r="A851" t="s">
        <v>863</v>
      </c>
      <c r="B851" s="5">
        <v>45817</v>
      </c>
      <c r="C851" t="s">
        <v>2059</v>
      </c>
      <c r="E851" t="s">
        <v>2407</v>
      </c>
      <c r="F851">
        <v>4</v>
      </c>
      <c r="G851" s="7">
        <v>214.35</v>
      </c>
      <c r="H851" s="3" t="s">
        <v>2943</v>
      </c>
      <c r="I851" s="3" t="s">
        <v>3065</v>
      </c>
      <c r="J851" s="3" t="s">
        <v>3071</v>
      </c>
      <c r="K851" s="3" t="s">
        <v>3924</v>
      </c>
      <c r="L851" s="3">
        <v>7</v>
      </c>
      <c r="M851" s="10" t="s">
        <v>4277</v>
      </c>
      <c r="N851" s="3" t="s">
        <v>4279</v>
      </c>
      <c r="O851" s="7">
        <v>857.4</v>
      </c>
      <c r="P851" s="3">
        <f t="shared" si="24"/>
        <v>857.4</v>
      </c>
    </row>
    <row r="852" spans="1:16" x14ac:dyDescent="0.35">
      <c r="A852" t="s">
        <v>864</v>
      </c>
      <c r="B852" s="5">
        <v>45774</v>
      </c>
      <c r="C852" t="s">
        <v>2060</v>
      </c>
      <c r="E852" t="s">
        <v>2403</v>
      </c>
      <c r="F852">
        <v>3</v>
      </c>
      <c r="G852" s="7">
        <v>638.5</v>
      </c>
      <c r="H852" s="3" t="s">
        <v>2893</v>
      </c>
      <c r="I852" s="3" t="s">
        <v>3065</v>
      </c>
      <c r="J852" s="3" t="s">
        <v>3071</v>
      </c>
      <c r="K852" s="3" t="s">
        <v>3925</v>
      </c>
      <c r="L852" s="3">
        <v>4</v>
      </c>
      <c r="M852" s="10" t="s">
        <v>4276</v>
      </c>
      <c r="N852" s="3" t="s">
        <v>4278</v>
      </c>
      <c r="O852" s="7">
        <v>1915.5</v>
      </c>
      <c r="P852" s="3">
        <f t="shared" si="24"/>
        <v>1915.5</v>
      </c>
    </row>
    <row r="853" spans="1:16" x14ac:dyDescent="0.35">
      <c r="A853" t="s">
        <v>865</v>
      </c>
      <c r="B853" s="5">
        <v>45272</v>
      </c>
      <c r="C853" t="s">
        <v>2061</v>
      </c>
      <c r="E853" t="s">
        <v>2408</v>
      </c>
      <c r="F853">
        <v>1</v>
      </c>
      <c r="G853" s="7">
        <v>365.57</v>
      </c>
      <c r="H853" s="3" t="s">
        <v>2482</v>
      </c>
      <c r="I853" s="3" t="s">
        <v>3066</v>
      </c>
      <c r="J853" s="3" t="s">
        <v>3071</v>
      </c>
      <c r="K853" s="3" t="s">
        <v>3926</v>
      </c>
      <c r="L853" s="3">
        <v>5</v>
      </c>
      <c r="M853" s="10" t="s">
        <v>4275</v>
      </c>
      <c r="N853" s="3" t="s">
        <v>4280</v>
      </c>
      <c r="O853" s="7">
        <v>365.57</v>
      </c>
      <c r="P853" s="3">
        <f t="shared" si="24"/>
        <v>365.57</v>
      </c>
    </row>
    <row r="854" spans="1:16" x14ac:dyDescent="0.35">
      <c r="A854" t="s">
        <v>866</v>
      </c>
      <c r="B854" s="5">
        <v>45589</v>
      </c>
      <c r="C854" t="s">
        <v>2062</v>
      </c>
      <c r="E854" t="s">
        <v>2409</v>
      </c>
      <c r="F854">
        <v>3</v>
      </c>
      <c r="G854" s="7">
        <v>568.04999999999995</v>
      </c>
      <c r="H854" s="3" t="s">
        <v>2955</v>
      </c>
      <c r="I854" s="3" t="s">
        <v>3068</v>
      </c>
      <c r="J854" s="3" t="s">
        <v>3074</v>
      </c>
      <c r="K854" s="3" t="s">
        <v>3927</v>
      </c>
      <c r="L854" s="3">
        <v>6</v>
      </c>
      <c r="M854" s="10" t="s">
        <v>4275</v>
      </c>
      <c r="N854" s="3" t="s">
        <v>4282</v>
      </c>
      <c r="O854" s="7">
        <v>1704.15</v>
      </c>
      <c r="P854" s="3">
        <f t="shared" si="24"/>
        <v>1704.1499999999999</v>
      </c>
    </row>
    <row r="855" spans="1:16" x14ac:dyDescent="0.35">
      <c r="A855" t="s">
        <v>867</v>
      </c>
      <c r="B855" s="5">
        <v>45215</v>
      </c>
      <c r="C855" t="s">
        <v>2063</v>
      </c>
      <c r="E855" t="s">
        <v>2407</v>
      </c>
      <c r="F855">
        <v>3</v>
      </c>
      <c r="G855" s="7">
        <v>490.01</v>
      </c>
      <c r="H855" s="3" t="s">
        <v>2663</v>
      </c>
      <c r="I855" s="3" t="s">
        <v>3069</v>
      </c>
      <c r="J855" s="3" t="s">
        <v>3072</v>
      </c>
      <c r="K855" s="3" t="s">
        <v>3928</v>
      </c>
      <c r="L855" s="3">
        <v>4</v>
      </c>
      <c r="M855" s="10" t="s">
        <v>4275</v>
      </c>
      <c r="N855" s="3" t="s">
        <v>4281</v>
      </c>
      <c r="O855" s="7">
        <v>1470.03</v>
      </c>
      <c r="P855" s="3">
        <f t="shared" si="24"/>
        <v>1470.03</v>
      </c>
    </row>
    <row r="856" spans="1:16" x14ac:dyDescent="0.35">
      <c r="A856" t="s">
        <v>868</v>
      </c>
      <c r="B856" s="5">
        <v>45821</v>
      </c>
      <c r="C856" t="s">
        <v>2064</v>
      </c>
      <c r="E856" t="s">
        <v>2408</v>
      </c>
      <c r="F856">
        <v>3</v>
      </c>
      <c r="G856" s="7">
        <v>372.6</v>
      </c>
      <c r="H856" s="3" t="s">
        <v>2759</v>
      </c>
      <c r="I856" s="3" t="s">
        <v>3067</v>
      </c>
      <c r="J856" s="3" t="s">
        <v>3073</v>
      </c>
      <c r="K856" s="3" t="s">
        <v>3929</v>
      </c>
      <c r="L856" s="3">
        <v>7</v>
      </c>
      <c r="M856" s="10" t="s">
        <v>4277</v>
      </c>
      <c r="N856" s="3" t="s">
        <v>4279</v>
      </c>
      <c r="O856" s="7">
        <v>1117.8</v>
      </c>
      <c r="P856" s="3">
        <f t="shared" si="24"/>
        <v>1117.8000000000002</v>
      </c>
    </row>
    <row r="857" spans="1:16" x14ac:dyDescent="0.35">
      <c r="A857" t="s">
        <v>869</v>
      </c>
      <c r="B857" s="5">
        <v>45071</v>
      </c>
      <c r="C857" t="s">
        <v>2065</v>
      </c>
      <c r="E857" t="s">
        <v>2403</v>
      </c>
      <c r="F857">
        <v>5</v>
      </c>
      <c r="G857" s="7">
        <v>240.61</v>
      </c>
      <c r="H857" s="3" t="s">
        <v>2624</v>
      </c>
      <c r="I857" s="3" t="s">
        <v>3067</v>
      </c>
      <c r="J857" s="3" t="s">
        <v>3070</v>
      </c>
      <c r="K857" s="3" t="s">
        <v>3930</v>
      </c>
      <c r="L857" s="3">
        <v>10</v>
      </c>
      <c r="M857" s="10" t="s">
        <v>4276</v>
      </c>
      <c r="N857" s="3" t="s">
        <v>4280</v>
      </c>
      <c r="O857" s="7">
        <v>1203.05</v>
      </c>
      <c r="P857" s="3">
        <f t="shared" si="24"/>
        <v>1203.0500000000002</v>
      </c>
    </row>
    <row r="858" spans="1:16" x14ac:dyDescent="0.35">
      <c r="A858" t="s">
        <v>870</v>
      </c>
      <c r="B858" s="5">
        <v>45446</v>
      </c>
      <c r="C858" t="s">
        <v>2066</v>
      </c>
      <c r="E858" t="s">
        <v>2404</v>
      </c>
      <c r="F858">
        <v>1</v>
      </c>
      <c r="G858" s="7">
        <v>586.62</v>
      </c>
      <c r="H858" s="3" t="s">
        <v>2452</v>
      </c>
      <c r="I858" s="3" t="s">
        <v>3065</v>
      </c>
      <c r="J858" s="3" t="s">
        <v>3070</v>
      </c>
      <c r="K858" s="3" t="s">
        <v>3931</v>
      </c>
      <c r="L858" s="3">
        <v>5</v>
      </c>
      <c r="N858" s="3" t="s">
        <v>4281</v>
      </c>
      <c r="O858" s="7">
        <v>586.62</v>
      </c>
      <c r="P858" s="3">
        <f t="shared" si="24"/>
        <v>586.62</v>
      </c>
    </row>
    <row r="859" spans="1:16" x14ac:dyDescent="0.35">
      <c r="A859" t="s">
        <v>871</v>
      </c>
      <c r="B859" s="5">
        <v>45361</v>
      </c>
      <c r="C859" t="s">
        <v>2067</v>
      </c>
      <c r="E859" t="s">
        <v>2404</v>
      </c>
      <c r="F859">
        <v>3</v>
      </c>
      <c r="G859" s="7">
        <v>257.83999999999997</v>
      </c>
      <c r="H859" s="3" t="s">
        <v>2594</v>
      </c>
      <c r="I859" s="3" t="s">
        <v>3066</v>
      </c>
      <c r="J859" s="3" t="s">
        <v>3073</v>
      </c>
      <c r="K859" s="3" t="s">
        <v>3932</v>
      </c>
      <c r="L859" s="3">
        <v>4</v>
      </c>
      <c r="N859" s="3" t="s">
        <v>4278</v>
      </c>
      <c r="O859" s="7">
        <v>773.52</v>
      </c>
      <c r="P859" s="3">
        <f t="shared" si="24"/>
        <v>773.52</v>
      </c>
    </row>
    <row r="860" spans="1:16" x14ac:dyDescent="0.35">
      <c r="A860" t="s">
        <v>872</v>
      </c>
      <c r="B860" s="5">
        <v>45158</v>
      </c>
      <c r="C860" t="s">
        <v>2068</v>
      </c>
      <c r="E860" t="s">
        <v>2405</v>
      </c>
      <c r="F860">
        <v>5</v>
      </c>
      <c r="G860" s="7">
        <v>435.66</v>
      </c>
      <c r="H860" s="3" t="s">
        <v>2428</v>
      </c>
      <c r="I860" s="3" t="s">
        <v>3066</v>
      </c>
      <c r="J860" s="3" t="s">
        <v>3074</v>
      </c>
      <c r="K860" s="3" t="s">
        <v>3933</v>
      </c>
      <c r="L860" s="3">
        <v>9</v>
      </c>
      <c r="N860" s="3" t="s">
        <v>4281</v>
      </c>
      <c r="O860" s="7">
        <v>2178.3000000000002</v>
      </c>
      <c r="P860" s="3">
        <f t="shared" si="24"/>
        <v>2178.3000000000002</v>
      </c>
    </row>
    <row r="861" spans="1:16" x14ac:dyDescent="0.35">
      <c r="A861" t="s">
        <v>873</v>
      </c>
      <c r="B861" s="5">
        <v>45532</v>
      </c>
      <c r="C861" t="s">
        <v>2069</v>
      </c>
      <c r="E861" t="s">
        <v>2406</v>
      </c>
      <c r="F861">
        <v>5</v>
      </c>
      <c r="G861" s="7">
        <v>261.33</v>
      </c>
      <c r="H861" s="3" t="s">
        <v>2842</v>
      </c>
      <c r="I861" s="3" t="s">
        <v>3067</v>
      </c>
      <c r="J861" s="3" t="s">
        <v>3072</v>
      </c>
      <c r="K861" s="3" t="s">
        <v>3934</v>
      </c>
      <c r="L861" s="3">
        <v>5</v>
      </c>
      <c r="M861" s="10" t="s">
        <v>4275</v>
      </c>
      <c r="N861" s="3" t="s">
        <v>4279</v>
      </c>
      <c r="O861" s="7">
        <v>1306.6500000000001</v>
      </c>
      <c r="P861" s="3">
        <f t="shared" si="24"/>
        <v>1306.6499999999999</v>
      </c>
    </row>
    <row r="862" spans="1:16" x14ac:dyDescent="0.35">
      <c r="A862" t="s">
        <v>874</v>
      </c>
      <c r="B862" s="5">
        <v>45314</v>
      </c>
      <c r="C862" t="s">
        <v>2070</v>
      </c>
      <c r="E862" t="s">
        <v>2407</v>
      </c>
      <c r="F862">
        <v>1</v>
      </c>
      <c r="G862" s="7">
        <v>422.54</v>
      </c>
      <c r="H862" s="3" t="s">
        <v>2699</v>
      </c>
      <c r="I862" s="3" t="s">
        <v>3069</v>
      </c>
      <c r="J862" s="3" t="s">
        <v>3073</v>
      </c>
      <c r="K862" s="3" t="s">
        <v>3935</v>
      </c>
      <c r="L862" s="3">
        <v>1</v>
      </c>
      <c r="M862" s="10" t="s">
        <v>4275</v>
      </c>
      <c r="N862" s="3" t="s">
        <v>4282</v>
      </c>
      <c r="O862" s="7">
        <v>422.54</v>
      </c>
      <c r="P862" s="3">
        <f t="shared" si="24"/>
        <v>422.54</v>
      </c>
    </row>
    <row r="863" spans="1:16" x14ac:dyDescent="0.35">
      <c r="A863" t="s">
        <v>875</v>
      </c>
      <c r="B863" s="5">
        <v>45004</v>
      </c>
      <c r="C863" t="s">
        <v>2071</v>
      </c>
      <c r="E863" t="s">
        <v>2409</v>
      </c>
      <c r="F863">
        <v>5</v>
      </c>
      <c r="G863" s="7">
        <v>330.45</v>
      </c>
      <c r="H863" s="3" t="s">
        <v>2956</v>
      </c>
      <c r="I863" s="3" t="s">
        <v>3068</v>
      </c>
      <c r="J863" s="3" t="s">
        <v>3070</v>
      </c>
      <c r="K863" s="3" t="s">
        <v>3936</v>
      </c>
      <c r="L863" s="3">
        <v>10</v>
      </c>
      <c r="M863" s="10" t="s">
        <v>4276</v>
      </c>
      <c r="N863" s="3" t="s">
        <v>4282</v>
      </c>
      <c r="O863" s="7">
        <v>1652.25</v>
      </c>
      <c r="P863" s="3">
        <f t="shared" si="24"/>
        <v>1652.25</v>
      </c>
    </row>
    <row r="864" spans="1:16" x14ac:dyDescent="0.35">
      <c r="A864" t="s">
        <v>876</v>
      </c>
      <c r="B864" s="5">
        <v>45262</v>
      </c>
      <c r="C864" t="s">
        <v>2072</v>
      </c>
      <c r="E864" t="s">
        <v>2409</v>
      </c>
      <c r="F864">
        <v>3</v>
      </c>
      <c r="G864" s="7">
        <v>120.82</v>
      </c>
      <c r="H864" s="3" t="s">
        <v>2882</v>
      </c>
      <c r="I864" s="3" t="s">
        <v>3067</v>
      </c>
      <c r="J864" s="3" t="s">
        <v>3070</v>
      </c>
      <c r="K864" s="3" t="s">
        <v>3937</v>
      </c>
      <c r="L864" s="3">
        <v>5</v>
      </c>
      <c r="M864" s="10" t="s">
        <v>4275</v>
      </c>
      <c r="N864" s="3" t="s">
        <v>4279</v>
      </c>
      <c r="O864" s="7">
        <v>362.46</v>
      </c>
      <c r="P864" s="3">
        <f t="shared" si="24"/>
        <v>362.46</v>
      </c>
    </row>
    <row r="865" spans="1:16" x14ac:dyDescent="0.35">
      <c r="A865" t="s">
        <v>877</v>
      </c>
      <c r="B865" s="5">
        <v>45432</v>
      </c>
      <c r="C865" t="s">
        <v>2073</v>
      </c>
      <c r="E865" t="s">
        <v>2404</v>
      </c>
      <c r="F865">
        <v>1</v>
      </c>
      <c r="G865" s="7">
        <v>14.06</v>
      </c>
      <c r="H865" s="3" t="s">
        <v>2625</v>
      </c>
      <c r="I865" s="3" t="s">
        <v>3067</v>
      </c>
      <c r="J865" s="3" t="s">
        <v>3074</v>
      </c>
      <c r="K865" s="3" t="s">
        <v>3938</v>
      </c>
      <c r="L865" s="3">
        <v>5</v>
      </c>
      <c r="M865" s="10" t="s">
        <v>4275</v>
      </c>
      <c r="N865" s="3" t="s">
        <v>4279</v>
      </c>
      <c r="O865" s="7">
        <v>14.06</v>
      </c>
      <c r="P865" s="3">
        <f t="shared" si="24"/>
        <v>14.06</v>
      </c>
    </row>
    <row r="866" spans="1:16" x14ac:dyDescent="0.35">
      <c r="A866" t="s">
        <v>878</v>
      </c>
      <c r="B866" s="5">
        <v>45049</v>
      </c>
      <c r="C866" t="s">
        <v>2074</v>
      </c>
      <c r="E866" t="s">
        <v>2409</v>
      </c>
      <c r="F866">
        <v>1</v>
      </c>
      <c r="G866" s="7">
        <v>491.11</v>
      </c>
      <c r="H866" s="3" t="s">
        <v>2957</v>
      </c>
      <c r="I866" s="3" t="s">
        <v>3067</v>
      </c>
      <c r="J866" s="3" t="s">
        <v>3073</v>
      </c>
      <c r="K866" s="3" t="s">
        <v>3939</v>
      </c>
      <c r="L866" s="3">
        <v>4</v>
      </c>
      <c r="M866" s="10" t="s">
        <v>4275</v>
      </c>
      <c r="N866" s="3" t="s">
        <v>4281</v>
      </c>
      <c r="O866" s="7">
        <v>491.11</v>
      </c>
      <c r="P866" s="3">
        <f t="shared" si="24"/>
        <v>491.11</v>
      </c>
    </row>
    <row r="867" spans="1:16" x14ac:dyDescent="0.35">
      <c r="A867" t="s">
        <v>879</v>
      </c>
      <c r="B867" s="5">
        <v>45046</v>
      </c>
      <c r="C867" t="s">
        <v>2075</v>
      </c>
      <c r="E867" t="s">
        <v>2403</v>
      </c>
      <c r="F867">
        <v>4</v>
      </c>
      <c r="G867" s="7">
        <v>677.37</v>
      </c>
      <c r="H867" s="3" t="s">
        <v>2958</v>
      </c>
      <c r="I867" s="3" t="s">
        <v>3069</v>
      </c>
      <c r="J867" s="3" t="s">
        <v>3074</v>
      </c>
      <c r="K867" s="3" t="s">
        <v>3940</v>
      </c>
      <c r="L867" s="3">
        <v>8</v>
      </c>
      <c r="M867" s="10" t="s">
        <v>4275</v>
      </c>
      <c r="N867" s="3" t="s">
        <v>4282</v>
      </c>
      <c r="O867" s="7">
        <v>2709.48</v>
      </c>
      <c r="P867" s="3">
        <f t="shared" si="24"/>
        <v>2709.48</v>
      </c>
    </row>
    <row r="868" spans="1:16" x14ac:dyDescent="0.35">
      <c r="A868" t="s">
        <v>880</v>
      </c>
      <c r="B868" s="5">
        <v>45499</v>
      </c>
      <c r="C868" t="s">
        <v>2076</v>
      </c>
      <c r="E868" t="s">
        <v>2409</v>
      </c>
      <c r="F868">
        <v>5</v>
      </c>
      <c r="G868" s="7">
        <v>189.25</v>
      </c>
      <c r="H868" s="3" t="s">
        <v>2959</v>
      </c>
      <c r="I868" s="3" t="s">
        <v>3065</v>
      </c>
      <c r="J868" s="3" t="s">
        <v>3071</v>
      </c>
      <c r="K868" s="3" t="s">
        <v>3941</v>
      </c>
      <c r="L868" s="3">
        <v>10</v>
      </c>
      <c r="M868" s="10" t="s">
        <v>4277</v>
      </c>
      <c r="N868" s="3" t="s">
        <v>4280</v>
      </c>
      <c r="O868" s="7">
        <v>946.25</v>
      </c>
      <c r="P868" s="3">
        <f t="shared" si="24"/>
        <v>946.25</v>
      </c>
    </row>
    <row r="869" spans="1:16" x14ac:dyDescent="0.35">
      <c r="A869" t="s">
        <v>881</v>
      </c>
      <c r="B869" s="5">
        <v>45438</v>
      </c>
      <c r="C869" t="s">
        <v>2077</v>
      </c>
      <c r="E869" t="s">
        <v>2407</v>
      </c>
      <c r="F869">
        <v>4</v>
      </c>
      <c r="G869" s="7">
        <v>142.58000000000001</v>
      </c>
      <c r="H869" s="3" t="s">
        <v>2960</v>
      </c>
      <c r="I869" s="3" t="s">
        <v>3069</v>
      </c>
      <c r="J869" s="3" t="s">
        <v>3073</v>
      </c>
      <c r="K869" s="3" t="s">
        <v>3942</v>
      </c>
      <c r="L869" s="3">
        <v>4</v>
      </c>
      <c r="M869" s="10" t="s">
        <v>4276</v>
      </c>
      <c r="N869" s="3" t="s">
        <v>4281</v>
      </c>
      <c r="O869" s="7">
        <v>570.32000000000005</v>
      </c>
      <c r="P869" s="3">
        <f t="shared" si="24"/>
        <v>570.32000000000005</v>
      </c>
    </row>
    <row r="870" spans="1:16" x14ac:dyDescent="0.35">
      <c r="A870" t="s">
        <v>882</v>
      </c>
      <c r="B870" s="5">
        <v>45472</v>
      </c>
      <c r="C870" t="s">
        <v>2078</v>
      </c>
      <c r="E870" t="s">
        <v>2403</v>
      </c>
      <c r="F870">
        <v>4</v>
      </c>
      <c r="G870" s="7">
        <v>316.32</v>
      </c>
      <c r="H870" s="3" t="s">
        <v>2961</v>
      </c>
      <c r="I870" s="3" t="s">
        <v>3065</v>
      </c>
      <c r="J870" s="3" t="s">
        <v>3073</v>
      </c>
      <c r="K870" s="3" t="s">
        <v>3943</v>
      </c>
      <c r="L870" s="3">
        <v>7</v>
      </c>
      <c r="N870" s="3" t="s">
        <v>4281</v>
      </c>
      <c r="O870" s="7">
        <v>1265.28</v>
      </c>
      <c r="P870" s="3">
        <f t="shared" si="24"/>
        <v>1265.28</v>
      </c>
    </row>
    <row r="871" spans="1:16" x14ac:dyDescent="0.35">
      <c r="A871" t="s">
        <v>883</v>
      </c>
      <c r="B871" s="5">
        <v>45368</v>
      </c>
      <c r="C871" t="s">
        <v>2079</v>
      </c>
      <c r="E871" t="s">
        <v>2409</v>
      </c>
      <c r="F871">
        <v>2</v>
      </c>
      <c r="G871" s="7">
        <v>533.95000000000005</v>
      </c>
      <c r="H871" s="3" t="s">
        <v>2566</v>
      </c>
      <c r="I871" s="3" t="s">
        <v>3066</v>
      </c>
      <c r="J871" s="3" t="s">
        <v>3073</v>
      </c>
      <c r="K871" s="3" t="s">
        <v>3944</v>
      </c>
      <c r="L871" s="3">
        <v>5</v>
      </c>
      <c r="M871" s="10" t="s">
        <v>4277</v>
      </c>
      <c r="N871" s="3" t="s">
        <v>4282</v>
      </c>
      <c r="O871" s="7">
        <v>1067.9000000000001</v>
      </c>
      <c r="P871" s="3">
        <f t="shared" si="24"/>
        <v>1067.9000000000001</v>
      </c>
    </row>
    <row r="872" spans="1:16" x14ac:dyDescent="0.35">
      <c r="A872" t="s">
        <v>884</v>
      </c>
      <c r="B872" s="5">
        <v>45809</v>
      </c>
      <c r="C872" t="s">
        <v>2080</v>
      </c>
      <c r="E872" t="s">
        <v>2404</v>
      </c>
      <c r="F872">
        <v>4</v>
      </c>
      <c r="G872" s="7">
        <v>470.09</v>
      </c>
      <c r="H872" s="3" t="s">
        <v>2962</v>
      </c>
      <c r="I872" s="3" t="s">
        <v>3065</v>
      </c>
      <c r="J872" s="3" t="s">
        <v>3073</v>
      </c>
      <c r="K872" s="3" t="s">
        <v>3945</v>
      </c>
      <c r="L872" s="3">
        <v>4</v>
      </c>
      <c r="M872" s="10" t="s">
        <v>4276</v>
      </c>
      <c r="N872" s="3" t="s">
        <v>4282</v>
      </c>
      <c r="O872" s="7">
        <v>1880.36</v>
      </c>
      <c r="P872" s="3">
        <f t="shared" si="24"/>
        <v>1880.36</v>
      </c>
    </row>
    <row r="873" spans="1:16" x14ac:dyDescent="0.35">
      <c r="A873" t="s">
        <v>885</v>
      </c>
      <c r="B873" s="5">
        <v>45428</v>
      </c>
      <c r="C873" t="s">
        <v>2081</v>
      </c>
      <c r="E873" t="s">
        <v>2405</v>
      </c>
      <c r="F873">
        <v>3</v>
      </c>
      <c r="G873" s="7">
        <v>324.3</v>
      </c>
      <c r="H873" s="3" t="s">
        <v>2963</v>
      </c>
      <c r="I873" s="3" t="s">
        <v>3065</v>
      </c>
      <c r="J873" s="3" t="s">
        <v>3074</v>
      </c>
      <c r="K873" s="3" t="s">
        <v>3946</v>
      </c>
      <c r="L873" s="3">
        <v>8</v>
      </c>
      <c r="M873" s="10" t="s">
        <v>4276</v>
      </c>
      <c r="N873" s="3" t="s">
        <v>4280</v>
      </c>
      <c r="O873" s="7">
        <v>972.90000000000009</v>
      </c>
      <c r="P873" s="3">
        <f t="shared" si="24"/>
        <v>972.90000000000009</v>
      </c>
    </row>
    <row r="874" spans="1:16" x14ac:dyDescent="0.35">
      <c r="A874" t="s">
        <v>886</v>
      </c>
      <c r="B874" s="5">
        <v>45117</v>
      </c>
      <c r="C874" t="s">
        <v>2082</v>
      </c>
      <c r="E874" t="s">
        <v>2406</v>
      </c>
      <c r="F874">
        <v>4</v>
      </c>
      <c r="G874" s="7">
        <v>629.34</v>
      </c>
      <c r="H874" s="3" t="s">
        <v>2590</v>
      </c>
      <c r="I874" s="3" t="s">
        <v>3069</v>
      </c>
      <c r="J874" s="3" t="s">
        <v>3070</v>
      </c>
      <c r="K874" s="3" t="s">
        <v>3947</v>
      </c>
      <c r="L874" s="3">
        <v>7</v>
      </c>
      <c r="N874" s="3" t="s">
        <v>4280</v>
      </c>
      <c r="O874" s="7">
        <v>2517.36</v>
      </c>
      <c r="P874" s="3">
        <f t="shared" si="24"/>
        <v>2517.36</v>
      </c>
    </row>
    <row r="875" spans="1:16" x14ac:dyDescent="0.35">
      <c r="A875" t="s">
        <v>887</v>
      </c>
      <c r="B875" s="5">
        <v>45424</v>
      </c>
      <c r="C875" t="s">
        <v>2083</v>
      </c>
      <c r="E875" t="s">
        <v>2409</v>
      </c>
      <c r="F875">
        <v>3</v>
      </c>
      <c r="G875" s="7">
        <v>136.84</v>
      </c>
      <c r="H875" s="3" t="s">
        <v>2964</v>
      </c>
      <c r="I875" s="3" t="s">
        <v>3069</v>
      </c>
      <c r="J875" s="3" t="s">
        <v>3073</v>
      </c>
      <c r="K875" s="3" t="s">
        <v>3948</v>
      </c>
      <c r="L875" s="3">
        <v>3</v>
      </c>
      <c r="M875" s="10" t="s">
        <v>4275</v>
      </c>
      <c r="N875" s="3" t="s">
        <v>4281</v>
      </c>
      <c r="O875" s="7">
        <v>410.52</v>
      </c>
      <c r="P875" s="3">
        <f t="shared" si="24"/>
        <v>410.52</v>
      </c>
    </row>
    <row r="876" spans="1:16" x14ac:dyDescent="0.35">
      <c r="A876" t="s">
        <v>888</v>
      </c>
      <c r="B876" s="5">
        <v>45230</v>
      </c>
      <c r="C876" t="s">
        <v>2084</v>
      </c>
      <c r="E876" t="s">
        <v>2406</v>
      </c>
      <c r="F876">
        <v>2</v>
      </c>
      <c r="G876" s="7">
        <v>488.9</v>
      </c>
      <c r="H876" s="3" t="s">
        <v>2886</v>
      </c>
      <c r="I876" s="3" t="s">
        <v>3069</v>
      </c>
      <c r="J876" s="3" t="s">
        <v>3073</v>
      </c>
      <c r="K876" s="3" t="s">
        <v>3949</v>
      </c>
      <c r="L876" s="3">
        <v>7</v>
      </c>
      <c r="M876" s="10" t="s">
        <v>4276</v>
      </c>
      <c r="N876" s="3" t="s">
        <v>4281</v>
      </c>
      <c r="O876" s="7">
        <v>977.8</v>
      </c>
      <c r="P876" s="3">
        <f t="shared" si="24"/>
        <v>977.8</v>
      </c>
    </row>
    <row r="877" spans="1:16" x14ac:dyDescent="0.35">
      <c r="A877" t="s">
        <v>889</v>
      </c>
      <c r="B877" s="5">
        <v>45141</v>
      </c>
      <c r="C877" t="s">
        <v>2085</v>
      </c>
      <c r="E877" t="s">
        <v>2408</v>
      </c>
      <c r="F877">
        <v>5</v>
      </c>
      <c r="G877" s="7">
        <v>133.38999999999999</v>
      </c>
      <c r="H877" s="3" t="s">
        <v>2496</v>
      </c>
      <c r="I877" s="3" t="s">
        <v>3067</v>
      </c>
      <c r="J877" s="3" t="s">
        <v>3073</v>
      </c>
      <c r="K877" s="3" t="s">
        <v>3950</v>
      </c>
      <c r="L877" s="3">
        <v>6</v>
      </c>
      <c r="M877" s="10" t="s">
        <v>4276</v>
      </c>
      <c r="N877" s="3" t="s">
        <v>4279</v>
      </c>
      <c r="O877" s="7">
        <v>666.94999999999993</v>
      </c>
      <c r="P877" s="3">
        <f t="shared" si="24"/>
        <v>666.94999999999993</v>
      </c>
    </row>
    <row r="878" spans="1:16" x14ac:dyDescent="0.35">
      <c r="A878" t="s">
        <v>890</v>
      </c>
      <c r="B878" s="5">
        <v>45452</v>
      </c>
      <c r="C878" t="s">
        <v>2086</v>
      </c>
      <c r="E878" t="s">
        <v>2406</v>
      </c>
      <c r="F878">
        <v>5</v>
      </c>
      <c r="G878" s="7">
        <v>608.91</v>
      </c>
      <c r="H878" s="3" t="s">
        <v>2900</v>
      </c>
      <c r="I878" s="3" t="s">
        <v>3068</v>
      </c>
      <c r="J878" s="3" t="s">
        <v>3074</v>
      </c>
      <c r="K878" s="3" t="s">
        <v>3951</v>
      </c>
      <c r="L878" s="3">
        <v>6</v>
      </c>
      <c r="M878" s="10" t="s">
        <v>4275</v>
      </c>
      <c r="N878" s="3" t="s">
        <v>4282</v>
      </c>
      <c r="O878" s="7">
        <v>3044.55</v>
      </c>
      <c r="P878" s="3">
        <f t="shared" si="24"/>
        <v>3044.5499999999997</v>
      </c>
    </row>
    <row r="879" spans="1:16" x14ac:dyDescent="0.35">
      <c r="A879" t="s">
        <v>891</v>
      </c>
      <c r="B879" s="5">
        <v>45498</v>
      </c>
      <c r="C879" t="s">
        <v>2087</v>
      </c>
      <c r="E879" t="s">
        <v>2405</v>
      </c>
      <c r="F879">
        <v>1</v>
      </c>
      <c r="G879" s="7">
        <v>524.05999999999995</v>
      </c>
      <c r="H879" s="3" t="s">
        <v>2847</v>
      </c>
      <c r="I879" s="3" t="s">
        <v>3065</v>
      </c>
      <c r="J879" s="3" t="s">
        <v>3074</v>
      </c>
      <c r="K879" s="3" t="s">
        <v>3952</v>
      </c>
      <c r="L879" s="3">
        <v>3</v>
      </c>
      <c r="M879" s="10" t="s">
        <v>4276</v>
      </c>
      <c r="N879" s="3" t="s">
        <v>4280</v>
      </c>
      <c r="O879" s="7">
        <v>524.05999999999995</v>
      </c>
      <c r="P879" s="3">
        <f t="shared" si="24"/>
        <v>524.05999999999995</v>
      </c>
    </row>
    <row r="880" spans="1:16" x14ac:dyDescent="0.35">
      <c r="A880" t="s">
        <v>892</v>
      </c>
      <c r="B880" s="5">
        <v>45078</v>
      </c>
      <c r="C880" t="s">
        <v>2088</v>
      </c>
      <c r="E880" t="s">
        <v>2409</v>
      </c>
      <c r="F880">
        <v>2</v>
      </c>
      <c r="G880" s="7">
        <v>330.69</v>
      </c>
      <c r="H880" s="3" t="s">
        <v>2965</v>
      </c>
      <c r="I880" s="3" t="s">
        <v>3066</v>
      </c>
      <c r="J880" s="3" t="s">
        <v>3071</v>
      </c>
      <c r="K880" s="3" t="s">
        <v>3953</v>
      </c>
      <c r="L880" s="3">
        <v>5</v>
      </c>
      <c r="M880" s="10" t="s">
        <v>4275</v>
      </c>
      <c r="N880" s="3" t="s">
        <v>4282</v>
      </c>
      <c r="O880" s="7">
        <v>661.38</v>
      </c>
      <c r="P880" s="3">
        <f t="shared" si="24"/>
        <v>661.38</v>
      </c>
    </row>
    <row r="881" spans="1:16" x14ac:dyDescent="0.35">
      <c r="A881" t="s">
        <v>893</v>
      </c>
      <c r="B881" s="5">
        <v>45755</v>
      </c>
      <c r="C881" t="s">
        <v>2089</v>
      </c>
      <c r="E881" t="s">
        <v>2404</v>
      </c>
      <c r="F881">
        <v>2</v>
      </c>
      <c r="G881" s="7">
        <v>547.66999999999996</v>
      </c>
      <c r="H881" s="3" t="s">
        <v>2817</v>
      </c>
      <c r="I881" s="3" t="s">
        <v>3068</v>
      </c>
      <c r="J881" s="3" t="s">
        <v>3070</v>
      </c>
      <c r="K881" s="3" t="s">
        <v>3954</v>
      </c>
      <c r="L881" s="3">
        <v>3</v>
      </c>
      <c r="N881" s="3" t="s">
        <v>4278</v>
      </c>
      <c r="O881" s="7">
        <v>1095.3399999999999</v>
      </c>
      <c r="P881" s="3">
        <f t="shared" si="24"/>
        <v>1095.3399999999999</v>
      </c>
    </row>
    <row r="882" spans="1:16" x14ac:dyDescent="0.35">
      <c r="A882" t="s">
        <v>894</v>
      </c>
      <c r="B882" s="5">
        <v>45728</v>
      </c>
      <c r="C882" t="s">
        <v>2090</v>
      </c>
      <c r="E882" t="s">
        <v>2408</v>
      </c>
      <c r="F882">
        <v>4</v>
      </c>
      <c r="G882" s="7">
        <v>233.7</v>
      </c>
      <c r="H882" s="3" t="s">
        <v>2620</v>
      </c>
      <c r="I882" s="3" t="s">
        <v>3066</v>
      </c>
      <c r="J882" s="3" t="s">
        <v>3070</v>
      </c>
      <c r="K882" s="3" t="s">
        <v>3955</v>
      </c>
      <c r="L882" s="3">
        <v>8</v>
      </c>
      <c r="M882" s="10" t="s">
        <v>4275</v>
      </c>
      <c r="N882" s="3" t="s">
        <v>4281</v>
      </c>
      <c r="O882" s="7">
        <v>934.8</v>
      </c>
      <c r="P882" s="3">
        <f t="shared" si="24"/>
        <v>934.8</v>
      </c>
    </row>
    <row r="883" spans="1:16" x14ac:dyDescent="0.35">
      <c r="A883" t="s">
        <v>895</v>
      </c>
      <c r="B883" s="5">
        <v>44929</v>
      </c>
      <c r="C883" t="s">
        <v>2091</v>
      </c>
      <c r="E883" t="s">
        <v>2405</v>
      </c>
      <c r="F883">
        <v>2</v>
      </c>
      <c r="G883" s="7">
        <v>448.85</v>
      </c>
      <c r="H883" s="3" t="s">
        <v>2966</v>
      </c>
      <c r="I883" s="3" t="s">
        <v>3067</v>
      </c>
      <c r="J883" s="3" t="s">
        <v>3074</v>
      </c>
      <c r="K883" s="3" t="s">
        <v>3956</v>
      </c>
      <c r="L883" s="3">
        <v>6</v>
      </c>
      <c r="N883" s="3" t="s">
        <v>4278</v>
      </c>
      <c r="O883" s="7">
        <v>897.7</v>
      </c>
      <c r="P883" s="3">
        <f t="shared" si="24"/>
        <v>897.7</v>
      </c>
    </row>
    <row r="884" spans="1:16" x14ac:dyDescent="0.35">
      <c r="A884" t="s">
        <v>896</v>
      </c>
      <c r="B884" s="5">
        <v>45836</v>
      </c>
      <c r="C884" t="s">
        <v>2092</v>
      </c>
      <c r="E884" t="s">
        <v>2404</v>
      </c>
      <c r="F884">
        <v>2</v>
      </c>
      <c r="G884" s="7">
        <v>274.12</v>
      </c>
      <c r="H884" s="3" t="s">
        <v>2501</v>
      </c>
      <c r="I884" s="3" t="s">
        <v>3069</v>
      </c>
      <c r="J884" s="3" t="s">
        <v>3073</v>
      </c>
      <c r="K884" s="3" t="s">
        <v>3957</v>
      </c>
      <c r="L884" s="3">
        <v>6</v>
      </c>
      <c r="M884" s="10" t="s">
        <v>4276</v>
      </c>
      <c r="N884" s="3" t="s">
        <v>4279</v>
      </c>
      <c r="O884" s="7">
        <v>548.24</v>
      </c>
      <c r="P884" s="3">
        <f t="shared" si="24"/>
        <v>548.24</v>
      </c>
    </row>
    <row r="885" spans="1:16" x14ac:dyDescent="0.35">
      <c r="A885" t="s">
        <v>897</v>
      </c>
      <c r="B885" s="5">
        <v>45790</v>
      </c>
      <c r="C885" t="s">
        <v>2093</v>
      </c>
      <c r="E885" t="s">
        <v>2407</v>
      </c>
      <c r="F885">
        <v>5</v>
      </c>
      <c r="G885" s="7">
        <v>561.48</v>
      </c>
      <c r="H885" s="3" t="s">
        <v>2967</v>
      </c>
      <c r="I885" s="3" t="s">
        <v>3066</v>
      </c>
      <c r="J885" s="3" t="s">
        <v>3073</v>
      </c>
      <c r="K885" s="3" t="s">
        <v>3958</v>
      </c>
      <c r="L885" s="3">
        <v>9</v>
      </c>
      <c r="M885" s="10" t="s">
        <v>4276</v>
      </c>
      <c r="N885" s="3" t="s">
        <v>4281</v>
      </c>
      <c r="O885" s="7">
        <v>2807.4</v>
      </c>
      <c r="P885" s="3">
        <f t="shared" si="24"/>
        <v>2807.4</v>
      </c>
    </row>
    <row r="886" spans="1:16" x14ac:dyDescent="0.35">
      <c r="A886" t="s">
        <v>898</v>
      </c>
      <c r="B886" s="5">
        <v>45427</v>
      </c>
      <c r="C886" t="s">
        <v>2094</v>
      </c>
      <c r="E886" t="s">
        <v>2406</v>
      </c>
      <c r="F886">
        <v>1</v>
      </c>
      <c r="G886" s="7">
        <v>595.54</v>
      </c>
      <c r="H886" s="3" t="s">
        <v>2968</v>
      </c>
      <c r="I886" s="3" t="s">
        <v>3068</v>
      </c>
      <c r="J886" s="3" t="s">
        <v>3070</v>
      </c>
      <c r="K886" s="3" t="s">
        <v>3959</v>
      </c>
      <c r="L886" s="3">
        <v>4</v>
      </c>
      <c r="N886" s="3" t="s">
        <v>4278</v>
      </c>
      <c r="O886" s="7">
        <v>595.54</v>
      </c>
      <c r="P886" s="3">
        <f t="shared" si="24"/>
        <v>595.54</v>
      </c>
    </row>
    <row r="887" spans="1:16" x14ac:dyDescent="0.35">
      <c r="A887" t="s">
        <v>899</v>
      </c>
      <c r="B887" s="5">
        <v>45389</v>
      </c>
      <c r="C887" t="s">
        <v>2095</v>
      </c>
      <c r="E887" t="s">
        <v>2408</v>
      </c>
      <c r="F887">
        <v>4</v>
      </c>
      <c r="G887" s="7">
        <v>515.59</v>
      </c>
      <c r="H887" s="3" t="s">
        <v>2969</v>
      </c>
      <c r="I887" s="3" t="s">
        <v>3067</v>
      </c>
      <c r="J887" s="3" t="s">
        <v>3070</v>
      </c>
      <c r="K887" s="3" t="s">
        <v>3960</v>
      </c>
      <c r="L887" s="3">
        <v>7</v>
      </c>
      <c r="M887" s="10" t="s">
        <v>4276</v>
      </c>
      <c r="N887" s="3" t="s">
        <v>4282</v>
      </c>
      <c r="O887" s="7">
        <v>2062.36</v>
      </c>
      <c r="P887" s="3">
        <f t="shared" si="24"/>
        <v>2062.36</v>
      </c>
    </row>
    <row r="888" spans="1:16" x14ac:dyDescent="0.35">
      <c r="A888" t="s">
        <v>900</v>
      </c>
      <c r="B888" s="5">
        <v>45224</v>
      </c>
      <c r="C888" t="s">
        <v>2096</v>
      </c>
      <c r="E888" t="s">
        <v>2404</v>
      </c>
      <c r="F888">
        <v>1</v>
      </c>
      <c r="G888" s="7">
        <v>460.13</v>
      </c>
      <c r="H888" s="3" t="s">
        <v>2970</v>
      </c>
      <c r="I888" s="3" t="s">
        <v>3067</v>
      </c>
      <c r="J888" s="3" t="s">
        <v>3072</v>
      </c>
      <c r="K888" s="3" t="s">
        <v>3961</v>
      </c>
      <c r="L888" s="3">
        <v>1</v>
      </c>
      <c r="N888" s="3" t="s">
        <v>4282</v>
      </c>
      <c r="O888" s="7">
        <v>460.13</v>
      </c>
      <c r="P888" s="3">
        <f t="shared" si="24"/>
        <v>460.13</v>
      </c>
    </row>
    <row r="889" spans="1:16" x14ac:dyDescent="0.35">
      <c r="A889" t="s">
        <v>901</v>
      </c>
      <c r="B889" s="5">
        <v>45645</v>
      </c>
      <c r="C889" t="s">
        <v>2097</v>
      </c>
      <c r="E889" t="s">
        <v>2406</v>
      </c>
      <c r="F889">
        <v>3</v>
      </c>
      <c r="G889" s="7">
        <v>171.66</v>
      </c>
      <c r="H889" s="3" t="s">
        <v>2971</v>
      </c>
      <c r="I889" s="3" t="s">
        <v>3065</v>
      </c>
      <c r="J889" s="3" t="s">
        <v>3073</v>
      </c>
      <c r="K889" s="3" t="s">
        <v>3962</v>
      </c>
      <c r="L889" s="3">
        <v>7</v>
      </c>
      <c r="N889" s="3" t="s">
        <v>4282</v>
      </c>
      <c r="O889" s="7">
        <v>514.98</v>
      </c>
      <c r="P889" s="3">
        <f t="shared" si="24"/>
        <v>514.98</v>
      </c>
    </row>
    <row r="890" spans="1:16" x14ac:dyDescent="0.35">
      <c r="A890" t="s">
        <v>902</v>
      </c>
      <c r="B890" s="5">
        <v>45496</v>
      </c>
      <c r="C890" t="s">
        <v>2098</v>
      </c>
      <c r="E890" t="s">
        <v>2408</v>
      </c>
      <c r="F890">
        <v>2</v>
      </c>
      <c r="G890" s="7">
        <v>266.95</v>
      </c>
      <c r="H890" s="3" t="s">
        <v>2972</v>
      </c>
      <c r="I890" s="3" t="s">
        <v>3067</v>
      </c>
      <c r="J890" s="3" t="s">
        <v>3074</v>
      </c>
      <c r="K890" s="3" t="s">
        <v>3963</v>
      </c>
      <c r="L890" s="3">
        <v>3</v>
      </c>
      <c r="N890" s="3" t="s">
        <v>4278</v>
      </c>
      <c r="O890" s="7">
        <v>533.9</v>
      </c>
      <c r="P890" s="3">
        <f t="shared" si="24"/>
        <v>533.9</v>
      </c>
    </row>
    <row r="891" spans="1:16" x14ac:dyDescent="0.35">
      <c r="A891" t="s">
        <v>903</v>
      </c>
      <c r="B891" s="5">
        <v>45592</v>
      </c>
      <c r="C891" t="s">
        <v>2099</v>
      </c>
      <c r="E891" t="s">
        <v>2403</v>
      </c>
      <c r="F891">
        <v>5</v>
      </c>
      <c r="G891" s="7">
        <v>650.72</v>
      </c>
      <c r="H891" s="3" t="s">
        <v>2973</v>
      </c>
      <c r="I891" s="3" t="s">
        <v>3067</v>
      </c>
      <c r="J891" s="3" t="s">
        <v>3071</v>
      </c>
      <c r="K891" s="3" t="s">
        <v>3964</v>
      </c>
      <c r="L891" s="3">
        <v>8</v>
      </c>
      <c r="M891" s="10" t="s">
        <v>4277</v>
      </c>
      <c r="N891" s="3" t="s">
        <v>4280</v>
      </c>
      <c r="O891" s="7">
        <v>3253.6</v>
      </c>
      <c r="P891" s="3">
        <f t="shared" si="24"/>
        <v>3253.6000000000004</v>
      </c>
    </row>
    <row r="892" spans="1:16" x14ac:dyDescent="0.35">
      <c r="A892" t="s">
        <v>904</v>
      </c>
      <c r="B892" s="5">
        <v>45149</v>
      </c>
      <c r="C892" t="s">
        <v>2100</v>
      </c>
      <c r="E892" t="s">
        <v>2408</v>
      </c>
      <c r="F892">
        <v>3</v>
      </c>
      <c r="G892" s="7">
        <v>439.53</v>
      </c>
      <c r="H892" s="3" t="s">
        <v>2781</v>
      </c>
      <c r="I892" s="3" t="s">
        <v>3065</v>
      </c>
      <c r="J892" s="3" t="s">
        <v>3074</v>
      </c>
      <c r="K892" s="3" t="s">
        <v>3965</v>
      </c>
      <c r="L892" s="3">
        <v>5</v>
      </c>
      <c r="N892" s="3" t="s">
        <v>4282</v>
      </c>
      <c r="O892" s="7">
        <v>1318.59</v>
      </c>
      <c r="P892" s="3">
        <f t="shared" si="24"/>
        <v>1318.59</v>
      </c>
    </row>
    <row r="893" spans="1:16" x14ac:dyDescent="0.35">
      <c r="A893" t="s">
        <v>905</v>
      </c>
      <c r="B893" s="5">
        <v>45241</v>
      </c>
      <c r="C893" t="s">
        <v>2101</v>
      </c>
      <c r="E893" t="s">
        <v>2403</v>
      </c>
      <c r="F893">
        <v>3</v>
      </c>
      <c r="G893" s="7">
        <v>654.54</v>
      </c>
      <c r="H893" s="3" t="s">
        <v>2974</v>
      </c>
      <c r="I893" s="3" t="s">
        <v>3069</v>
      </c>
      <c r="J893" s="3" t="s">
        <v>3072</v>
      </c>
      <c r="K893" s="3" t="s">
        <v>3966</v>
      </c>
      <c r="L893" s="3">
        <v>7</v>
      </c>
      <c r="M893" s="10" t="s">
        <v>4275</v>
      </c>
      <c r="N893" s="3" t="s">
        <v>4279</v>
      </c>
      <c r="O893" s="7">
        <v>1963.62</v>
      </c>
      <c r="P893" s="3">
        <f t="shared" si="24"/>
        <v>1963.62</v>
      </c>
    </row>
    <row r="894" spans="1:16" x14ac:dyDescent="0.35">
      <c r="A894" t="s">
        <v>906</v>
      </c>
      <c r="B894" s="5">
        <v>45447</v>
      </c>
      <c r="C894" t="s">
        <v>2102</v>
      </c>
      <c r="E894" t="s">
        <v>2409</v>
      </c>
      <c r="F894">
        <v>1</v>
      </c>
      <c r="G894" s="7">
        <v>394.53</v>
      </c>
      <c r="H894" s="3" t="s">
        <v>2975</v>
      </c>
      <c r="I894" s="3" t="s">
        <v>3069</v>
      </c>
      <c r="J894" s="3" t="s">
        <v>3070</v>
      </c>
      <c r="K894" s="3" t="s">
        <v>3967</v>
      </c>
      <c r="L894" s="3">
        <v>2</v>
      </c>
      <c r="M894" s="10" t="s">
        <v>4276</v>
      </c>
      <c r="N894" s="3" t="s">
        <v>4279</v>
      </c>
      <c r="O894" s="7">
        <v>394.53</v>
      </c>
      <c r="P894" s="3">
        <f t="shared" si="24"/>
        <v>394.53</v>
      </c>
    </row>
    <row r="895" spans="1:16" x14ac:dyDescent="0.35">
      <c r="A895" t="s">
        <v>907</v>
      </c>
      <c r="B895" s="5">
        <v>45006</v>
      </c>
      <c r="C895" t="s">
        <v>2103</v>
      </c>
      <c r="E895" t="s">
        <v>2403</v>
      </c>
      <c r="F895">
        <v>1</v>
      </c>
      <c r="G895" s="7">
        <v>678.01</v>
      </c>
      <c r="H895" s="3" t="s">
        <v>2796</v>
      </c>
      <c r="I895" s="3" t="s">
        <v>3069</v>
      </c>
      <c r="J895" s="3" t="s">
        <v>3074</v>
      </c>
      <c r="K895" s="3" t="s">
        <v>3968</v>
      </c>
      <c r="L895" s="3">
        <v>4</v>
      </c>
      <c r="M895" s="10" t="s">
        <v>4276</v>
      </c>
      <c r="N895" s="3" t="s">
        <v>4279</v>
      </c>
      <c r="O895" s="7">
        <v>678.01</v>
      </c>
      <c r="P895" s="3">
        <f t="shared" si="24"/>
        <v>678.01</v>
      </c>
    </row>
    <row r="896" spans="1:16" x14ac:dyDescent="0.35">
      <c r="A896" t="s">
        <v>908</v>
      </c>
      <c r="B896" s="5">
        <v>45069</v>
      </c>
      <c r="C896" t="s">
        <v>2104</v>
      </c>
      <c r="E896" t="s">
        <v>2405</v>
      </c>
      <c r="F896">
        <v>3</v>
      </c>
      <c r="G896" s="7">
        <v>575.01</v>
      </c>
      <c r="H896" s="3" t="s">
        <v>2811</v>
      </c>
      <c r="I896" s="3" t="s">
        <v>3066</v>
      </c>
      <c r="J896" s="3" t="s">
        <v>3071</v>
      </c>
      <c r="K896" s="3" t="s">
        <v>3969</v>
      </c>
      <c r="L896" s="3">
        <v>8</v>
      </c>
      <c r="M896" s="10" t="s">
        <v>4277</v>
      </c>
      <c r="N896" s="3" t="s">
        <v>4278</v>
      </c>
      <c r="O896" s="7">
        <v>1725.03</v>
      </c>
      <c r="P896" s="3">
        <f t="shared" si="24"/>
        <v>1725.03</v>
      </c>
    </row>
    <row r="897" spans="1:16" x14ac:dyDescent="0.35">
      <c r="A897" t="s">
        <v>909</v>
      </c>
      <c r="B897" s="5">
        <v>45239</v>
      </c>
      <c r="C897" t="s">
        <v>2105</v>
      </c>
      <c r="E897" t="s">
        <v>2406</v>
      </c>
      <c r="F897">
        <v>3</v>
      </c>
      <c r="G897" s="7">
        <v>154.63999999999999</v>
      </c>
      <c r="H897" s="3" t="s">
        <v>2976</v>
      </c>
      <c r="I897" s="3" t="s">
        <v>3065</v>
      </c>
      <c r="J897" s="3" t="s">
        <v>3074</v>
      </c>
      <c r="K897" s="3" t="s">
        <v>3970</v>
      </c>
      <c r="L897" s="3">
        <v>6</v>
      </c>
      <c r="M897" s="10" t="s">
        <v>4277</v>
      </c>
      <c r="N897" s="3" t="s">
        <v>4281</v>
      </c>
      <c r="O897" s="7">
        <v>463.92</v>
      </c>
      <c r="P897" s="3">
        <f t="shared" si="24"/>
        <v>463.91999999999996</v>
      </c>
    </row>
    <row r="898" spans="1:16" x14ac:dyDescent="0.35">
      <c r="A898" t="s">
        <v>910</v>
      </c>
      <c r="B898" s="5">
        <v>45583</v>
      </c>
      <c r="C898" t="s">
        <v>2106</v>
      </c>
      <c r="E898" t="s">
        <v>2409</v>
      </c>
      <c r="F898">
        <v>3</v>
      </c>
      <c r="G898" s="7">
        <v>147.29</v>
      </c>
      <c r="H898" s="3" t="s">
        <v>2419</v>
      </c>
      <c r="I898" s="3" t="s">
        <v>3068</v>
      </c>
      <c r="J898" s="3" t="s">
        <v>3070</v>
      </c>
      <c r="K898" s="3" t="s">
        <v>3971</v>
      </c>
      <c r="L898" s="3">
        <v>3</v>
      </c>
      <c r="M898" s="10" t="s">
        <v>4276</v>
      </c>
      <c r="N898" s="3" t="s">
        <v>4282</v>
      </c>
      <c r="O898" s="7">
        <v>441.87</v>
      </c>
      <c r="P898" s="3">
        <f t="shared" si="24"/>
        <v>441.87</v>
      </c>
    </row>
    <row r="899" spans="1:16" x14ac:dyDescent="0.35">
      <c r="A899" t="s">
        <v>911</v>
      </c>
      <c r="B899" s="5">
        <v>45538</v>
      </c>
      <c r="C899" t="s">
        <v>2107</v>
      </c>
      <c r="E899" t="s">
        <v>2408</v>
      </c>
      <c r="F899">
        <v>4</v>
      </c>
      <c r="G899" s="7">
        <v>481.48</v>
      </c>
      <c r="H899" s="3" t="s">
        <v>2589</v>
      </c>
      <c r="I899" s="3" t="s">
        <v>3068</v>
      </c>
      <c r="J899" s="3" t="s">
        <v>3073</v>
      </c>
      <c r="K899" s="3" t="s">
        <v>3972</v>
      </c>
      <c r="L899" s="3">
        <v>5</v>
      </c>
      <c r="M899" s="10" t="s">
        <v>4275</v>
      </c>
      <c r="N899" s="3" t="s">
        <v>4278</v>
      </c>
      <c r="O899" s="7">
        <v>1925.92</v>
      </c>
      <c r="P899" s="3">
        <f t="shared" ref="P899:P962" si="25">G899*F899</f>
        <v>1925.92</v>
      </c>
    </row>
    <row r="900" spans="1:16" x14ac:dyDescent="0.35">
      <c r="A900" t="s">
        <v>912</v>
      </c>
      <c r="B900" s="5">
        <v>45721</v>
      </c>
      <c r="C900" t="s">
        <v>2108</v>
      </c>
      <c r="E900" t="s">
        <v>2403</v>
      </c>
      <c r="F900">
        <v>3</v>
      </c>
      <c r="G900" s="7">
        <v>158.37</v>
      </c>
      <c r="H900" s="3" t="s">
        <v>2950</v>
      </c>
      <c r="I900" s="3" t="s">
        <v>3069</v>
      </c>
      <c r="J900" s="3" t="s">
        <v>3070</v>
      </c>
      <c r="K900" s="3" t="s">
        <v>3973</v>
      </c>
      <c r="L900" s="3">
        <v>6</v>
      </c>
      <c r="N900" s="3" t="s">
        <v>4279</v>
      </c>
      <c r="O900" s="7">
        <v>475.11</v>
      </c>
      <c r="P900" s="3">
        <f t="shared" si="25"/>
        <v>475.11</v>
      </c>
    </row>
    <row r="901" spans="1:16" x14ac:dyDescent="0.35">
      <c r="A901" t="s">
        <v>913</v>
      </c>
      <c r="B901" s="5">
        <v>45770</v>
      </c>
      <c r="C901" t="s">
        <v>2109</v>
      </c>
      <c r="E901" t="s">
        <v>2407</v>
      </c>
      <c r="F901">
        <v>2</v>
      </c>
      <c r="G901" s="7">
        <v>323.37</v>
      </c>
      <c r="H901" s="3" t="s">
        <v>2474</v>
      </c>
      <c r="I901" s="3" t="s">
        <v>3066</v>
      </c>
      <c r="J901" s="3" t="s">
        <v>3074</v>
      </c>
      <c r="K901" s="3" t="s">
        <v>3974</v>
      </c>
      <c r="L901" s="3">
        <v>3</v>
      </c>
      <c r="M901" s="10" t="s">
        <v>4275</v>
      </c>
      <c r="N901" s="3" t="s">
        <v>4278</v>
      </c>
      <c r="O901" s="7">
        <v>646.74</v>
      </c>
      <c r="P901" s="3">
        <f t="shared" si="25"/>
        <v>646.74</v>
      </c>
    </row>
    <row r="902" spans="1:16" x14ac:dyDescent="0.35">
      <c r="A902" t="s">
        <v>914</v>
      </c>
      <c r="B902" s="5">
        <v>45695</v>
      </c>
      <c r="C902" t="s">
        <v>2110</v>
      </c>
      <c r="E902" t="s">
        <v>2408</v>
      </c>
      <c r="F902">
        <v>5</v>
      </c>
      <c r="G902" s="7">
        <v>73.83</v>
      </c>
      <c r="H902" s="3" t="s">
        <v>2802</v>
      </c>
      <c r="I902" s="3" t="s">
        <v>3065</v>
      </c>
      <c r="J902" s="3" t="s">
        <v>3074</v>
      </c>
      <c r="K902" s="3" t="s">
        <v>3975</v>
      </c>
      <c r="L902" s="3">
        <v>9</v>
      </c>
      <c r="N902" s="3" t="s">
        <v>4278</v>
      </c>
      <c r="O902" s="7">
        <v>369.15</v>
      </c>
      <c r="P902" s="3">
        <f t="shared" si="25"/>
        <v>369.15</v>
      </c>
    </row>
    <row r="903" spans="1:16" x14ac:dyDescent="0.35">
      <c r="A903" t="s">
        <v>915</v>
      </c>
      <c r="B903" s="5">
        <v>45410</v>
      </c>
      <c r="C903" t="s">
        <v>2111</v>
      </c>
      <c r="E903" t="s">
        <v>2405</v>
      </c>
      <c r="F903">
        <v>1</v>
      </c>
      <c r="G903" s="7">
        <v>458.63</v>
      </c>
      <c r="H903" s="3" t="s">
        <v>2499</v>
      </c>
      <c r="I903" s="3" t="s">
        <v>3065</v>
      </c>
      <c r="J903" s="3" t="s">
        <v>3072</v>
      </c>
      <c r="K903" s="3" t="s">
        <v>3976</v>
      </c>
      <c r="L903" s="3">
        <v>4</v>
      </c>
      <c r="M903" s="10" t="s">
        <v>4277</v>
      </c>
      <c r="N903" s="3" t="s">
        <v>4279</v>
      </c>
      <c r="O903" s="7">
        <v>458.63</v>
      </c>
      <c r="P903" s="3">
        <f t="shared" si="25"/>
        <v>458.63</v>
      </c>
    </row>
    <row r="904" spans="1:16" x14ac:dyDescent="0.35">
      <c r="A904" t="s">
        <v>916</v>
      </c>
      <c r="B904" s="5">
        <v>45486</v>
      </c>
      <c r="C904" t="s">
        <v>2112</v>
      </c>
      <c r="E904" t="s">
        <v>2403</v>
      </c>
      <c r="F904">
        <v>4</v>
      </c>
      <c r="G904" s="7">
        <v>180.25</v>
      </c>
      <c r="H904" s="3" t="s">
        <v>2469</v>
      </c>
      <c r="I904" s="3" t="s">
        <v>3065</v>
      </c>
      <c r="J904" s="3" t="s">
        <v>3071</v>
      </c>
      <c r="K904" s="3" t="s">
        <v>3977</v>
      </c>
      <c r="L904" s="3">
        <v>7</v>
      </c>
      <c r="N904" s="3" t="s">
        <v>4281</v>
      </c>
      <c r="O904" s="7">
        <v>721</v>
      </c>
      <c r="P904" s="3">
        <f t="shared" si="25"/>
        <v>721</v>
      </c>
    </row>
    <row r="905" spans="1:16" x14ac:dyDescent="0.35">
      <c r="A905" t="s">
        <v>917</v>
      </c>
      <c r="B905" s="5">
        <v>45063</v>
      </c>
      <c r="C905" t="s">
        <v>2113</v>
      </c>
      <c r="E905" t="s">
        <v>2403</v>
      </c>
      <c r="F905">
        <v>3</v>
      </c>
      <c r="G905" s="7">
        <v>473.49</v>
      </c>
      <c r="H905" s="3" t="s">
        <v>2932</v>
      </c>
      <c r="I905" s="3" t="s">
        <v>3067</v>
      </c>
      <c r="J905" s="3" t="s">
        <v>3074</v>
      </c>
      <c r="K905" s="3" t="s">
        <v>3978</v>
      </c>
      <c r="L905" s="3">
        <v>7</v>
      </c>
      <c r="N905" s="3" t="s">
        <v>4280</v>
      </c>
      <c r="O905" s="7">
        <v>1420.47</v>
      </c>
      <c r="P905" s="3">
        <f t="shared" si="25"/>
        <v>1420.47</v>
      </c>
    </row>
    <row r="906" spans="1:16" x14ac:dyDescent="0.35">
      <c r="A906" t="s">
        <v>918</v>
      </c>
      <c r="B906" s="5">
        <v>45693</v>
      </c>
      <c r="C906" t="s">
        <v>2114</v>
      </c>
      <c r="E906" t="s">
        <v>2403</v>
      </c>
      <c r="F906">
        <v>4</v>
      </c>
      <c r="G906" s="7">
        <v>237.43</v>
      </c>
      <c r="H906" s="3" t="s">
        <v>2758</v>
      </c>
      <c r="I906" s="3" t="s">
        <v>3069</v>
      </c>
      <c r="J906" s="3" t="s">
        <v>3071</v>
      </c>
      <c r="K906" s="3" t="s">
        <v>3979</v>
      </c>
      <c r="L906" s="3">
        <v>8</v>
      </c>
      <c r="M906" s="10" t="s">
        <v>4277</v>
      </c>
      <c r="N906" s="3" t="s">
        <v>4279</v>
      </c>
      <c r="O906" s="7">
        <v>949.72</v>
      </c>
      <c r="P906" s="3">
        <f t="shared" si="25"/>
        <v>949.72</v>
      </c>
    </row>
    <row r="907" spans="1:16" x14ac:dyDescent="0.35">
      <c r="A907" t="s">
        <v>919</v>
      </c>
      <c r="B907" s="5">
        <v>45253</v>
      </c>
      <c r="C907" t="s">
        <v>2115</v>
      </c>
      <c r="E907" t="s">
        <v>2408</v>
      </c>
      <c r="F907">
        <v>1</v>
      </c>
      <c r="G907" s="7">
        <v>442.39</v>
      </c>
      <c r="H907" s="3" t="s">
        <v>2677</v>
      </c>
      <c r="I907" s="3" t="s">
        <v>3068</v>
      </c>
      <c r="J907" s="3" t="s">
        <v>3074</v>
      </c>
      <c r="K907" s="3" t="s">
        <v>3980</v>
      </c>
      <c r="L907" s="3">
        <v>6</v>
      </c>
      <c r="M907" s="10" t="s">
        <v>4276</v>
      </c>
      <c r="N907" s="3" t="s">
        <v>4281</v>
      </c>
      <c r="O907" s="7">
        <v>442.39</v>
      </c>
      <c r="P907" s="3">
        <f t="shared" si="25"/>
        <v>442.39</v>
      </c>
    </row>
    <row r="908" spans="1:16" x14ac:dyDescent="0.35">
      <c r="A908" t="s">
        <v>920</v>
      </c>
      <c r="B908" s="5">
        <v>45538</v>
      </c>
      <c r="C908" t="s">
        <v>2116</v>
      </c>
      <c r="E908" t="s">
        <v>2403</v>
      </c>
      <c r="F908">
        <v>1</v>
      </c>
      <c r="G908" s="7">
        <v>62.12</v>
      </c>
      <c r="H908" s="3" t="s">
        <v>2977</v>
      </c>
      <c r="I908" s="3" t="s">
        <v>3069</v>
      </c>
      <c r="J908" s="3" t="s">
        <v>3072</v>
      </c>
      <c r="K908" s="3" t="s">
        <v>3981</v>
      </c>
      <c r="L908" s="3">
        <v>2</v>
      </c>
      <c r="N908" s="3" t="s">
        <v>4280</v>
      </c>
      <c r="O908" s="7">
        <v>62.12</v>
      </c>
      <c r="P908" s="3">
        <f t="shared" si="25"/>
        <v>62.12</v>
      </c>
    </row>
    <row r="909" spans="1:16" x14ac:dyDescent="0.35">
      <c r="A909" t="s">
        <v>921</v>
      </c>
      <c r="B909" s="5">
        <v>45508</v>
      </c>
      <c r="C909" t="s">
        <v>2117</v>
      </c>
      <c r="E909" t="s">
        <v>2409</v>
      </c>
      <c r="F909">
        <v>5</v>
      </c>
      <c r="G909" s="7">
        <v>298.39</v>
      </c>
      <c r="H909" s="3" t="s">
        <v>2534</v>
      </c>
      <c r="I909" s="3" t="s">
        <v>3068</v>
      </c>
      <c r="J909" s="3" t="s">
        <v>3071</v>
      </c>
      <c r="K909" s="3" t="s">
        <v>3982</v>
      </c>
      <c r="L909" s="3">
        <v>7</v>
      </c>
      <c r="M909" s="10" t="s">
        <v>4277</v>
      </c>
      <c r="N909" s="3" t="s">
        <v>4279</v>
      </c>
      <c r="O909" s="7">
        <v>1491.95</v>
      </c>
      <c r="P909" s="3">
        <f t="shared" si="25"/>
        <v>1491.9499999999998</v>
      </c>
    </row>
    <row r="910" spans="1:16" x14ac:dyDescent="0.35">
      <c r="A910" t="s">
        <v>922</v>
      </c>
      <c r="B910" s="5">
        <v>45783</v>
      </c>
      <c r="C910" t="s">
        <v>2118</v>
      </c>
      <c r="E910" t="s">
        <v>2409</v>
      </c>
      <c r="F910">
        <v>2</v>
      </c>
      <c r="G910" s="7">
        <v>697.93</v>
      </c>
      <c r="H910" s="3" t="s">
        <v>2567</v>
      </c>
      <c r="I910" s="3" t="s">
        <v>3067</v>
      </c>
      <c r="J910" s="3" t="s">
        <v>3071</v>
      </c>
      <c r="K910" s="3" t="s">
        <v>3983</v>
      </c>
      <c r="L910" s="3">
        <v>2</v>
      </c>
      <c r="M910" s="10" t="s">
        <v>4275</v>
      </c>
      <c r="N910" s="3" t="s">
        <v>4282</v>
      </c>
      <c r="O910" s="7">
        <v>1395.86</v>
      </c>
      <c r="P910" s="3">
        <f t="shared" si="25"/>
        <v>1395.86</v>
      </c>
    </row>
    <row r="911" spans="1:16" x14ac:dyDescent="0.35">
      <c r="A911" t="s">
        <v>923</v>
      </c>
      <c r="B911" s="5">
        <v>45439</v>
      </c>
      <c r="C911" t="s">
        <v>2119</v>
      </c>
      <c r="E911" t="s">
        <v>2405</v>
      </c>
      <c r="F911">
        <v>2</v>
      </c>
      <c r="G911" s="7">
        <v>291.85000000000002</v>
      </c>
      <c r="H911" s="3" t="s">
        <v>2431</v>
      </c>
      <c r="I911" s="3" t="s">
        <v>3069</v>
      </c>
      <c r="J911" s="3" t="s">
        <v>3070</v>
      </c>
      <c r="K911" s="3" t="s">
        <v>3984</v>
      </c>
      <c r="L911" s="3">
        <v>5</v>
      </c>
      <c r="M911" s="10" t="s">
        <v>4276</v>
      </c>
      <c r="N911" s="3" t="s">
        <v>4278</v>
      </c>
      <c r="O911" s="7">
        <v>583.70000000000005</v>
      </c>
      <c r="P911" s="3">
        <f t="shared" si="25"/>
        <v>583.70000000000005</v>
      </c>
    </row>
    <row r="912" spans="1:16" x14ac:dyDescent="0.35">
      <c r="A912" t="s">
        <v>924</v>
      </c>
      <c r="B912" s="5">
        <v>45443</v>
      </c>
      <c r="C912" t="s">
        <v>2120</v>
      </c>
      <c r="E912" t="s">
        <v>2407</v>
      </c>
      <c r="F912">
        <v>3</v>
      </c>
      <c r="G912" s="7">
        <v>308.98</v>
      </c>
      <c r="H912" s="3" t="s">
        <v>2481</v>
      </c>
      <c r="I912" s="3" t="s">
        <v>3069</v>
      </c>
      <c r="J912" s="3" t="s">
        <v>3073</v>
      </c>
      <c r="K912" s="3" t="s">
        <v>3985</v>
      </c>
      <c r="L912" s="3">
        <v>3</v>
      </c>
      <c r="M912" s="10" t="s">
        <v>4275</v>
      </c>
      <c r="N912" s="3" t="s">
        <v>4278</v>
      </c>
      <c r="O912" s="7">
        <v>926.94</v>
      </c>
      <c r="P912" s="3">
        <f t="shared" si="25"/>
        <v>926.94</v>
      </c>
    </row>
    <row r="913" spans="1:16" x14ac:dyDescent="0.35">
      <c r="A913" t="s">
        <v>925</v>
      </c>
      <c r="B913" s="5">
        <v>45517</v>
      </c>
      <c r="C913" t="s">
        <v>2121</v>
      </c>
      <c r="E913" t="s">
        <v>2409</v>
      </c>
      <c r="F913">
        <v>5</v>
      </c>
      <c r="G913" s="7">
        <v>396.86</v>
      </c>
      <c r="H913" s="3" t="s">
        <v>2520</v>
      </c>
      <c r="I913" s="3" t="s">
        <v>3069</v>
      </c>
      <c r="J913" s="3" t="s">
        <v>3071</v>
      </c>
      <c r="K913" s="3" t="s">
        <v>3986</v>
      </c>
      <c r="L913" s="3">
        <v>9</v>
      </c>
      <c r="M913" s="10" t="s">
        <v>4275</v>
      </c>
      <c r="N913" s="3" t="s">
        <v>4278</v>
      </c>
      <c r="O913" s="7">
        <v>1984.3</v>
      </c>
      <c r="P913" s="3">
        <f t="shared" si="25"/>
        <v>1984.3000000000002</v>
      </c>
    </row>
    <row r="914" spans="1:16" x14ac:dyDescent="0.35">
      <c r="A914" t="s">
        <v>926</v>
      </c>
      <c r="B914" s="5">
        <v>45313</v>
      </c>
      <c r="C914" t="s">
        <v>2122</v>
      </c>
      <c r="E914" t="s">
        <v>2409</v>
      </c>
      <c r="F914">
        <v>2</v>
      </c>
      <c r="G914" s="7">
        <v>139.69</v>
      </c>
      <c r="H914" s="3" t="s">
        <v>2492</v>
      </c>
      <c r="I914" s="3" t="s">
        <v>3066</v>
      </c>
      <c r="J914" s="3" t="s">
        <v>3072</v>
      </c>
      <c r="K914" s="3" t="s">
        <v>3987</v>
      </c>
      <c r="L914" s="3">
        <v>7</v>
      </c>
      <c r="M914" s="10" t="s">
        <v>4276</v>
      </c>
      <c r="N914" s="3" t="s">
        <v>4280</v>
      </c>
      <c r="O914" s="7">
        <v>279.38</v>
      </c>
      <c r="P914" s="3">
        <f t="shared" si="25"/>
        <v>279.38</v>
      </c>
    </row>
    <row r="915" spans="1:16" x14ac:dyDescent="0.35">
      <c r="A915" t="s">
        <v>927</v>
      </c>
      <c r="B915" s="5">
        <v>44973</v>
      </c>
      <c r="C915" t="s">
        <v>2123</v>
      </c>
      <c r="E915" t="s">
        <v>2407</v>
      </c>
      <c r="F915">
        <v>5</v>
      </c>
      <c r="G915" s="7">
        <v>475.95</v>
      </c>
      <c r="H915" s="3" t="s">
        <v>2583</v>
      </c>
      <c r="I915" s="3" t="s">
        <v>3067</v>
      </c>
      <c r="J915" s="3" t="s">
        <v>3072</v>
      </c>
      <c r="K915" s="3" t="s">
        <v>3988</v>
      </c>
      <c r="L915" s="3">
        <v>8</v>
      </c>
      <c r="M915" s="10" t="s">
        <v>4277</v>
      </c>
      <c r="N915" s="3" t="s">
        <v>4281</v>
      </c>
      <c r="O915" s="7">
        <v>2379.75</v>
      </c>
      <c r="P915" s="3">
        <f t="shared" si="25"/>
        <v>2379.75</v>
      </c>
    </row>
    <row r="916" spans="1:16" x14ac:dyDescent="0.35">
      <c r="A916" t="s">
        <v>928</v>
      </c>
      <c r="B916" s="5">
        <v>45698</v>
      </c>
      <c r="C916" t="s">
        <v>2124</v>
      </c>
      <c r="E916" t="s">
        <v>2409</v>
      </c>
      <c r="F916">
        <v>1</v>
      </c>
      <c r="G916" s="7">
        <v>626.6</v>
      </c>
      <c r="H916" s="3" t="s">
        <v>2751</v>
      </c>
      <c r="I916" s="3" t="s">
        <v>3068</v>
      </c>
      <c r="J916" s="3" t="s">
        <v>3072</v>
      </c>
      <c r="K916" s="3" t="s">
        <v>3989</v>
      </c>
      <c r="L916" s="3">
        <v>4</v>
      </c>
      <c r="M916" s="10" t="s">
        <v>4277</v>
      </c>
      <c r="N916" s="3" t="s">
        <v>4281</v>
      </c>
      <c r="O916" s="7">
        <v>626.6</v>
      </c>
      <c r="P916" s="3">
        <f t="shared" si="25"/>
        <v>626.6</v>
      </c>
    </row>
    <row r="917" spans="1:16" x14ac:dyDescent="0.35">
      <c r="A917" t="s">
        <v>929</v>
      </c>
      <c r="B917" s="5">
        <v>45338</v>
      </c>
      <c r="C917" t="s">
        <v>2125</v>
      </c>
      <c r="E917" t="s">
        <v>2408</v>
      </c>
      <c r="F917">
        <v>4</v>
      </c>
      <c r="G917" s="7">
        <v>502.99</v>
      </c>
      <c r="H917" s="3" t="s">
        <v>2978</v>
      </c>
      <c r="I917" s="3" t="s">
        <v>3065</v>
      </c>
      <c r="J917" s="3" t="s">
        <v>3070</v>
      </c>
      <c r="K917" s="3" t="s">
        <v>3990</v>
      </c>
      <c r="L917" s="3">
        <v>4</v>
      </c>
      <c r="M917" s="10" t="s">
        <v>4277</v>
      </c>
      <c r="N917" s="3" t="s">
        <v>4279</v>
      </c>
      <c r="O917" s="7">
        <v>2011.96</v>
      </c>
      <c r="P917" s="3">
        <f t="shared" si="25"/>
        <v>2011.96</v>
      </c>
    </row>
    <row r="918" spans="1:16" x14ac:dyDescent="0.35">
      <c r="A918" t="s">
        <v>930</v>
      </c>
      <c r="B918" s="5">
        <v>45464</v>
      </c>
      <c r="C918" t="s">
        <v>2126</v>
      </c>
      <c r="E918" t="s">
        <v>2407</v>
      </c>
      <c r="F918">
        <v>5</v>
      </c>
      <c r="G918" s="7">
        <v>578.83000000000004</v>
      </c>
      <c r="H918" s="3" t="s">
        <v>2913</v>
      </c>
      <c r="I918" s="3" t="s">
        <v>3069</v>
      </c>
      <c r="J918" s="3" t="s">
        <v>3072</v>
      </c>
      <c r="K918" s="3" t="s">
        <v>3991</v>
      </c>
      <c r="L918" s="3">
        <v>6</v>
      </c>
      <c r="N918" s="3" t="s">
        <v>4279</v>
      </c>
      <c r="O918" s="7">
        <v>2894.15</v>
      </c>
      <c r="P918" s="3">
        <f t="shared" si="25"/>
        <v>2894.15</v>
      </c>
    </row>
    <row r="919" spans="1:16" x14ac:dyDescent="0.35">
      <c r="A919" t="s">
        <v>931</v>
      </c>
      <c r="B919" s="5">
        <v>45677</v>
      </c>
      <c r="C919" t="s">
        <v>2127</v>
      </c>
      <c r="E919" t="s">
        <v>2408</v>
      </c>
      <c r="F919">
        <v>5</v>
      </c>
      <c r="G919" s="7">
        <v>383.82</v>
      </c>
      <c r="H919" s="3" t="s">
        <v>2979</v>
      </c>
      <c r="I919" s="3" t="s">
        <v>3067</v>
      </c>
      <c r="J919" s="3" t="s">
        <v>3072</v>
      </c>
      <c r="K919" s="3" t="s">
        <v>3992</v>
      </c>
      <c r="L919" s="3">
        <v>7</v>
      </c>
      <c r="M919" s="10" t="s">
        <v>4276</v>
      </c>
      <c r="N919" s="3" t="s">
        <v>4282</v>
      </c>
      <c r="O919" s="7">
        <v>1919.1</v>
      </c>
      <c r="P919" s="3">
        <f t="shared" si="25"/>
        <v>1919.1</v>
      </c>
    </row>
    <row r="920" spans="1:16" x14ac:dyDescent="0.35">
      <c r="A920" t="s">
        <v>932</v>
      </c>
      <c r="B920" s="5">
        <v>45832</v>
      </c>
      <c r="C920" t="s">
        <v>2128</v>
      </c>
      <c r="E920" t="s">
        <v>2408</v>
      </c>
      <c r="F920">
        <v>5</v>
      </c>
      <c r="G920" s="7">
        <v>368.25</v>
      </c>
      <c r="H920" s="3" t="s">
        <v>2417</v>
      </c>
      <c r="I920" s="3" t="s">
        <v>3066</v>
      </c>
      <c r="J920" s="3" t="s">
        <v>3073</v>
      </c>
      <c r="K920" s="3" t="s">
        <v>3993</v>
      </c>
      <c r="L920" s="3">
        <v>5</v>
      </c>
      <c r="N920" s="3" t="s">
        <v>4278</v>
      </c>
      <c r="O920" s="7">
        <v>1841.25</v>
      </c>
      <c r="P920" s="3">
        <f t="shared" si="25"/>
        <v>1841.25</v>
      </c>
    </row>
    <row r="921" spans="1:16" x14ac:dyDescent="0.35">
      <c r="A921" t="s">
        <v>933</v>
      </c>
      <c r="B921" s="5">
        <v>45695</v>
      </c>
      <c r="C921" t="s">
        <v>2129</v>
      </c>
      <c r="E921" t="s">
        <v>2407</v>
      </c>
      <c r="F921">
        <v>2</v>
      </c>
      <c r="G921" s="7">
        <v>374.6</v>
      </c>
      <c r="H921" s="3" t="s">
        <v>2522</v>
      </c>
      <c r="I921" s="3" t="s">
        <v>3066</v>
      </c>
      <c r="J921" s="3" t="s">
        <v>3070</v>
      </c>
      <c r="K921" s="3" t="s">
        <v>3994</v>
      </c>
      <c r="L921" s="3">
        <v>3</v>
      </c>
      <c r="M921" s="10" t="s">
        <v>4276</v>
      </c>
      <c r="N921" s="3" t="s">
        <v>4279</v>
      </c>
      <c r="O921" s="7">
        <v>749.2</v>
      </c>
      <c r="P921" s="3">
        <f t="shared" si="25"/>
        <v>749.2</v>
      </c>
    </row>
    <row r="922" spans="1:16" x14ac:dyDescent="0.35">
      <c r="A922" t="s">
        <v>934</v>
      </c>
      <c r="B922" s="5">
        <v>45728</v>
      </c>
      <c r="C922" t="s">
        <v>2130</v>
      </c>
      <c r="E922" t="s">
        <v>2405</v>
      </c>
      <c r="F922">
        <v>2</v>
      </c>
      <c r="G922" s="7">
        <v>428.09</v>
      </c>
      <c r="H922" s="3" t="s">
        <v>2674</v>
      </c>
      <c r="I922" s="3" t="s">
        <v>3067</v>
      </c>
      <c r="J922" s="3" t="s">
        <v>3072</v>
      </c>
      <c r="K922" s="3" t="s">
        <v>3995</v>
      </c>
      <c r="L922" s="3">
        <v>6</v>
      </c>
      <c r="N922" s="3" t="s">
        <v>4278</v>
      </c>
      <c r="O922" s="7">
        <v>856.18</v>
      </c>
      <c r="P922" s="3">
        <f t="shared" si="25"/>
        <v>856.18</v>
      </c>
    </row>
    <row r="923" spans="1:16" x14ac:dyDescent="0.35">
      <c r="A923" t="s">
        <v>935</v>
      </c>
      <c r="B923" s="5">
        <v>45131</v>
      </c>
      <c r="C923" t="s">
        <v>2131</v>
      </c>
      <c r="E923" t="s">
        <v>2405</v>
      </c>
      <c r="F923">
        <v>1</v>
      </c>
      <c r="G923" s="7">
        <v>438.93</v>
      </c>
      <c r="H923" s="3" t="s">
        <v>2980</v>
      </c>
      <c r="I923" s="3" t="s">
        <v>3068</v>
      </c>
      <c r="J923" s="3" t="s">
        <v>3071</v>
      </c>
      <c r="K923" s="3" t="s">
        <v>3996</v>
      </c>
      <c r="L923" s="3">
        <v>3</v>
      </c>
      <c r="M923" s="10" t="s">
        <v>4275</v>
      </c>
      <c r="N923" s="3" t="s">
        <v>4279</v>
      </c>
      <c r="O923" s="7">
        <v>438.93</v>
      </c>
      <c r="P923" s="3">
        <f t="shared" si="25"/>
        <v>438.93</v>
      </c>
    </row>
    <row r="924" spans="1:16" x14ac:dyDescent="0.35">
      <c r="A924" t="s">
        <v>936</v>
      </c>
      <c r="B924" s="5">
        <v>45460</v>
      </c>
      <c r="C924" t="s">
        <v>2132</v>
      </c>
      <c r="E924" t="s">
        <v>2409</v>
      </c>
      <c r="F924">
        <v>2</v>
      </c>
      <c r="G924" s="7">
        <v>563.82000000000005</v>
      </c>
      <c r="H924" s="3" t="s">
        <v>2981</v>
      </c>
      <c r="I924" s="3" t="s">
        <v>3067</v>
      </c>
      <c r="J924" s="3" t="s">
        <v>3074</v>
      </c>
      <c r="K924" s="3" t="s">
        <v>3997</v>
      </c>
      <c r="L924" s="3">
        <v>3</v>
      </c>
      <c r="N924" s="3" t="s">
        <v>4278</v>
      </c>
      <c r="O924" s="7">
        <v>1127.6400000000001</v>
      </c>
      <c r="P924" s="3">
        <f t="shared" si="25"/>
        <v>1127.6400000000001</v>
      </c>
    </row>
    <row r="925" spans="1:16" x14ac:dyDescent="0.35">
      <c r="A925" t="s">
        <v>937</v>
      </c>
      <c r="B925" s="5">
        <v>44968</v>
      </c>
      <c r="C925" t="s">
        <v>2133</v>
      </c>
      <c r="E925" t="s">
        <v>2407</v>
      </c>
      <c r="F925">
        <v>3</v>
      </c>
      <c r="G925" s="7">
        <v>649.92999999999995</v>
      </c>
      <c r="H925" s="3" t="s">
        <v>2979</v>
      </c>
      <c r="I925" s="3" t="s">
        <v>3067</v>
      </c>
      <c r="J925" s="3" t="s">
        <v>3074</v>
      </c>
      <c r="K925" s="3" t="s">
        <v>3998</v>
      </c>
      <c r="L925" s="3">
        <v>7</v>
      </c>
      <c r="M925" s="10" t="s">
        <v>4277</v>
      </c>
      <c r="N925" s="3" t="s">
        <v>4281</v>
      </c>
      <c r="O925" s="7">
        <v>1949.79</v>
      </c>
      <c r="P925" s="3">
        <f t="shared" si="25"/>
        <v>1949.79</v>
      </c>
    </row>
    <row r="926" spans="1:16" x14ac:dyDescent="0.35">
      <c r="A926" t="s">
        <v>938</v>
      </c>
      <c r="B926" s="5">
        <v>45738</v>
      </c>
      <c r="C926" t="s">
        <v>2134</v>
      </c>
      <c r="E926" t="s">
        <v>2407</v>
      </c>
      <c r="F926">
        <v>5</v>
      </c>
      <c r="G926" s="7">
        <v>268.43</v>
      </c>
      <c r="H926" s="3" t="s">
        <v>2802</v>
      </c>
      <c r="I926" s="3" t="s">
        <v>3069</v>
      </c>
      <c r="J926" s="3" t="s">
        <v>3072</v>
      </c>
      <c r="K926" s="3" t="s">
        <v>3999</v>
      </c>
      <c r="L926" s="3">
        <v>5</v>
      </c>
      <c r="M926" s="10" t="s">
        <v>4275</v>
      </c>
      <c r="N926" s="3" t="s">
        <v>4280</v>
      </c>
      <c r="O926" s="7">
        <v>1342.15</v>
      </c>
      <c r="P926" s="3">
        <f t="shared" si="25"/>
        <v>1342.15</v>
      </c>
    </row>
    <row r="927" spans="1:16" x14ac:dyDescent="0.35">
      <c r="A927" t="s">
        <v>939</v>
      </c>
      <c r="B927" s="5">
        <v>45646</v>
      </c>
      <c r="C927" t="s">
        <v>2135</v>
      </c>
      <c r="E927" t="s">
        <v>2403</v>
      </c>
      <c r="F927">
        <v>5</v>
      </c>
      <c r="G927" s="7">
        <v>502.47</v>
      </c>
      <c r="H927" s="3" t="s">
        <v>2733</v>
      </c>
      <c r="I927" s="3" t="s">
        <v>3066</v>
      </c>
      <c r="J927" s="3" t="s">
        <v>3070</v>
      </c>
      <c r="K927" s="3" t="s">
        <v>4000</v>
      </c>
      <c r="L927" s="3">
        <v>10</v>
      </c>
      <c r="M927" s="10" t="s">
        <v>4277</v>
      </c>
      <c r="N927" s="3" t="s">
        <v>4280</v>
      </c>
      <c r="O927" s="7">
        <v>2512.35</v>
      </c>
      <c r="P927" s="3">
        <f t="shared" si="25"/>
        <v>2512.3500000000004</v>
      </c>
    </row>
    <row r="928" spans="1:16" x14ac:dyDescent="0.35">
      <c r="A928" t="s">
        <v>940</v>
      </c>
      <c r="B928" s="5">
        <v>45371</v>
      </c>
      <c r="C928" t="s">
        <v>2136</v>
      </c>
      <c r="E928" t="s">
        <v>2409</v>
      </c>
      <c r="F928">
        <v>1</v>
      </c>
      <c r="G928" s="7">
        <v>26.95</v>
      </c>
      <c r="H928" s="3" t="s">
        <v>2774</v>
      </c>
      <c r="I928" s="3" t="s">
        <v>3069</v>
      </c>
      <c r="J928" s="3" t="s">
        <v>3073</v>
      </c>
      <c r="K928" s="3" t="s">
        <v>4001</v>
      </c>
      <c r="L928" s="3">
        <v>1</v>
      </c>
      <c r="M928" s="10" t="s">
        <v>4277</v>
      </c>
      <c r="N928" s="3" t="s">
        <v>4280</v>
      </c>
      <c r="O928" s="7">
        <v>26.95</v>
      </c>
      <c r="P928" s="3">
        <f t="shared" si="25"/>
        <v>26.95</v>
      </c>
    </row>
    <row r="929" spans="1:16" x14ac:dyDescent="0.35">
      <c r="A929" t="s">
        <v>941</v>
      </c>
      <c r="B929" s="5">
        <v>44971</v>
      </c>
      <c r="C929" t="s">
        <v>2137</v>
      </c>
      <c r="E929" t="s">
        <v>2408</v>
      </c>
      <c r="F929">
        <v>4</v>
      </c>
      <c r="G929" s="7">
        <v>64.69</v>
      </c>
      <c r="H929" s="3" t="s">
        <v>2873</v>
      </c>
      <c r="I929" s="3" t="s">
        <v>3065</v>
      </c>
      <c r="J929" s="3" t="s">
        <v>3070</v>
      </c>
      <c r="K929" s="3" t="s">
        <v>4002</v>
      </c>
      <c r="L929" s="3">
        <v>7</v>
      </c>
      <c r="M929" s="10" t="s">
        <v>4277</v>
      </c>
      <c r="N929" s="3" t="s">
        <v>4282</v>
      </c>
      <c r="O929" s="7">
        <v>258.76</v>
      </c>
      <c r="P929" s="3">
        <f t="shared" si="25"/>
        <v>258.76</v>
      </c>
    </row>
    <row r="930" spans="1:16" x14ac:dyDescent="0.35">
      <c r="A930" t="s">
        <v>942</v>
      </c>
      <c r="B930" s="5">
        <v>45421</v>
      </c>
      <c r="C930" t="s">
        <v>2138</v>
      </c>
      <c r="E930" t="s">
        <v>2408</v>
      </c>
      <c r="F930">
        <v>3</v>
      </c>
      <c r="G930" s="7">
        <v>247.11</v>
      </c>
      <c r="H930" s="3" t="s">
        <v>2628</v>
      </c>
      <c r="I930" s="3" t="s">
        <v>3065</v>
      </c>
      <c r="J930" s="3" t="s">
        <v>3072</v>
      </c>
      <c r="K930" s="3" t="s">
        <v>4003</v>
      </c>
      <c r="L930" s="3">
        <v>3</v>
      </c>
      <c r="M930" s="10" t="s">
        <v>4277</v>
      </c>
      <c r="N930" s="3" t="s">
        <v>4279</v>
      </c>
      <c r="O930" s="7">
        <v>741.33</v>
      </c>
      <c r="P930" s="3">
        <f t="shared" si="25"/>
        <v>741.33</v>
      </c>
    </row>
    <row r="931" spans="1:16" x14ac:dyDescent="0.35">
      <c r="A931" t="s">
        <v>943</v>
      </c>
      <c r="B931" s="5">
        <v>45581</v>
      </c>
      <c r="C931" t="s">
        <v>2139</v>
      </c>
      <c r="E931" t="s">
        <v>2405</v>
      </c>
      <c r="F931">
        <v>2</v>
      </c>
      <c r="G931" s="7">
        <v>536.25</v>
      </c>
      <c r="H931" s="3" t="s">
        <v>2568</v>
      </c>
      <c r="I931" s="3" t="s">
        <v>3065</v>
      </c>
      <c r="J931" s="3" t="s">
        <v>3074</v>
      </c>
      <c r="K931" s="3" t="s">
        <v>4004</v>
      </c>
      <c r="L931" s="3">
        <v>3</v>
      </c>
      <c r="N931" s="3" t="s">
        <v>4280</v>
      </c>
      <c r="O931" s="7">
        <v>1072.5</v>
      </c>
      <c r="P931" s="3">
        <f t="shared" si="25"/>
        <v>1072.5</v>
      </c>
    </row>
    <row r="932" spans="1:16" x14ac:dyDescent="0.35">
      <c r="A932" t="s">
        <v>944</v>
      </c>
      <c r="B932" s="5">
        <v>45642</v>
      </c>
      <c r="C932" t="s">
        <v>2140</v>
      </c>
      <c r="E932" t="s">
        <v>2404</v>
      </c>
      <c r="F932">
        <v>2</v>
      </c>
      <c r="G932" s="7">
        <v>456.04</v>
      </c>
      <c r="H932" s="3" t="s">
        <v>2427</v>
      </c>
      <c r="I932" s="3" t="s">
        <v>3065</v>
      </c>
      <c r="J932" s="3" t="s">
        <v>3072</v>
      </c>
      <c r="K932" s="3" t="s">
        <v>4005</v>
      </c>
      <c r="L932" s="3">
        <v>4</v>
      </c>
      <c r="M932" s="10" t="s">
        <v>4276</v>
      </c>
      <c r="N932" s="3" t="s">
        <v>4280</v>
      </c>
      <c r="O932" s="7">
        <v>912.08</v>
      </c>
      <c r="P932" s="3">
        <f t="shared" si="25"/>
        <v>912.08</v>
      </c>
    </row>
    <row r="933" spans="1:16" x14ac:dyDescent="0.35">
      <c r="A933" t="s">
        <v>945</v>
      </c>
      <c r="B933" s="5">
        <v>45292</v>
      </c>
      <c r="C933" t="s">
        <v>2141</v>
      </c>
      <c r="E933" t="s">
        <v>2407</v>
      </c>
      <c r="F933">
        <v>2</v>
      </c>
      <c r="G933" s="7">
        <v>40.229999999999997</v>
      </c>
      <c r="H933" s="3" t="s">
        <v>2460</v>
      </c>
      <c r="I933" s="3" t="s">
        <v>3067</v>
      </c>
      <c r="J933" s="3" t="s">
        <v>3071</v>
      </c>
      <c r="K933" s="3" t="s">
        <v>4006</v>
      </c>
      <c r="L933" s="3">
        <v>4</v>
      </c>
      <c r="M933" s="10" t="s">
        <v>4275</v>
      </c>
      <c r="N933" s="3" t="s">
        <v>4282</v>
      </c>
      <c r="O933" s="7">
        <v>80.459999999999994</v>
      </c>
      <c r="P933" s="3">
        <f t="shared" si="25"/>
        <v>80.459999999999994</v>
      </c>
    </row>
    <row r="934" spans="1:16" x14ac:dyDescent="0.35">
      <c r="A934" t="s">
        <v>946</v>
      </c>
      <c r="B934" s="5">
        <v>45011</v>
      </c>
      <c r="C934" t="s">
        <v>2142</v>
      </c>
      <c r="E934" t="s">
        <v>2408</v>
      </c>
      <c r="F934">
        <v>2</v>
      </c>
      <c r="G934" s="7">
        <v>72.39</v>
      </c>
      <c r="H934" s="3" t="s">
        <v>2982</v>
      </c>
      <c r="I934" s="3" t="s">
        <v>3066</v>
      </c>
      <c r="J934" s="3" t="s">
        <v>3073</v>
      </c>
      <c r="K934" s="3" t="s">
        <v>4007</v>
      </c>
      <c r="L934" s="3">
        <v>7</v>
      </c>
      <c r="M934" s="10" t="s">
        <v>4277</v>
      </c>
      <c r="N934" s="3" t="s">
        <v>4278</v>
      </c>
      <c r="O934" s="7">
        <v>144.78</v>
      </c>
      <c r="P934" s="3">
        <f t="shared" si="25"/>
        <v>144.78</v>
      </c>
    </row>
    <row r="935" spans="1:16" x14ac:dyDescent="0.35">
      <c r="A935" t="s">
        <v>947</v>
      </c>
      <c r="B935" s="5">
        <v>44952</v>
      </c>
      <c r="C935" t="s">
        <v>2143</v>
      </c>
      <c r="E935" t="s">
        <v>2403</v>
      </c>
      <c r="F935">
        <v>2</v>
      </c>
      <c r="G935" s="7">
        <v>394.16</v>
      </c>
      <c r="H935" s="3" t="s">
        <v>2617</v>
      </c>
      <c r="I935" s="3" t="s">
        <v>3066</v>
      </c>
      <c r="J935" s="3" t="s">
        <v>3070</v>
      </c>
      <c r="K935" s="3" t="s">
        <v>4008</v>
      </c>
      <c r="L935" s="3">
        <v>2</v>
      </c>
      <c r="N935" s="3" t="s">
        <v>4279</v>
      </c>
      <c r="O935" s="7">
        <v>788.32</v>
      </c>
      <c r="P935" s="3">
        <f t="shared" si="25"/>
        <v>788.32</v>
      </c>
    </row>
    <row r="936" spans="1:16" x14ac:dyDescent="0.35">
      <c r="A936" t="s">
        <v>948</v>
      </c>
      <c r="B936" s="5">
        <v>45809</v>
      </c>
      <c r="C936" t="s">
        <v>2144</v>
      </c>
      <c r="E936" t="s">
        <v>2408</v>
      </c>
      <c r="F936">
        <v>4</v>
      </c>
      <c r="G936" s="7">
        <v>119.84</v>
      </c>
      <c r="H936" s="3" t="s">
        <v>2604</v>
      </c>
      <c r="I936" s="3" t="s">
        <v>3068</v>
      </c>
      <c r="J936" s="3" t="s">
        <v>3070</v>
      </c>
      <c r="K936" s="3" t="s">
        <v>4009</v>
      </c>
      <c r="L936" s="3">
        <v>8</v>
      </c>
      <c r="M936" s="10" t="s">
        <v>4276</v>
      </c>
      <c r="N936" s="3" t="s">
        <v>4279</v>
      </c>
      <c r="O936" s="7">
        <v>479.36</v>
      </c>
      <c r="P936" s="3">
        <f t="shared" si="25"/>
        <v>479.36</v>
      </c>
    </row>
    <row r="937" spans="1:16" x14ac:dyDescent="0.35">
      <c r="A937" t="s">
        <v>949</v>
      </c>
      <c r="B937" s="5">
        <v>45254</v>
      </c>
      <c r="C937" t="s">
        <v>2145</v>
      </c>
      <c r="E937" t="s">
        <v>2404</v>
      </c>
      <c r="F937">
        <v>3</v>
      </c>
      <c r="G937" s="7">
        <v>692.71</v>
      </c>
      <c r="H937" s="3" t="s">
        <v>2692</v>
      </c>
      <c r="I937" s="3" t="s">
        <v>3067</v>
      </c>
      <c r="J937" s="3" t="s">
        <v>3073</v>
      </c>
      <c r="K937" s="3" t="s">
        <v>4010</v>
      </c>
      <c r="L937" s="3">
        <v>3</v>
      </c>
      <c r="M937" s="10" t="s">
        <v>4276</v>
      </c>
      <c r="N937" s="3" t="s">
        <v>4278</v>
      </c>
      <c r="O937" s="7">
        <v>2078.13</v>
      </c>
      <c r="P937" s="3">
        <f t="shared" si="25"/>
        <v>2078.13</v>
      </c>
    </row>
    <row r="938" spans="1:16" x14ac:dyDescent="0.35">
      <c r="A938" t="s">
        <v>950</v>
      </c>
      <c r="B938" s="5">
        <v>45303</v>
      </c>
      <c r="C938" t="s">
        <v>2146</v>
      </c>
      <c r="E938" t="s">
        <v>2406</v>
      </c>
      <c r="F938">
        <v>4</v>
      </c>
      <c r="G938" s="7">
        <v>56.66</v>
      </c>
      <c r="H938" s="3" t="s">
        <v>2554</v>
      </c>
      <c r="I938" s="3" t="s">
        <v>3066</v>
      </c>
      <c r="J938" s="3" t="s">
        <v>3073</v>
      </c>
      <c r="K938" s="3" t="s">
        <v>4011</v>
      </c>
      <c r="L938" s="3">
        <v>4</v>
      </c>
      <c r="M938" s="10" t="s">
        <v>4275</v>
      </c>
      <c r="N938" s="3" t="s">
        <v>4278</v>
      </c>
      <c r="O938" s="7">
        <v>226.64</v>
      </c>
      <c r="P938" s="3">
        <f t="shared" si="25"/>
        <v>226.64</v>
      </c>
    </row>
    <row r="939" spans="1:16" x14ac:dyDescent="0.35">
      <c r="A939" t="s">
        <v>951</v>
      </c>
      <c r="B939" s="5">
        <v>45307</v>
      </c>
      <c r="C939" t="s">
        <v>2147</v>
      </c>
      <c r="E939" t="s">
        <v>2406</v>
      </c>
      <c r="F939">
        <v>2</v>
      </c>
      <c r="G939" s="7">
        <v>298.52999999999997</v>
      </c>
      <c r="H939" s="3" t="s">
        <v>2735</v>
      </c>
      <c r="I939" s="3" t="s">
        <v>3065</v>
      </c>
      <c r="J939" s="3" t="s">
        <v>3071</v>
      </c>
      <c r="K939" s="3" t="s">
        <v>4012</v>
      </c>
      <c r="L939" s="3">
        <v>5</v>
      </c>
      <c r="M939" s="10" t="s">
        <v>4277</v>
      </c>
      <c r="N939" s="3" t="s">
        <v>4280</v>
      </c>
      <c r="O939" s="7">
        <v>597.05999999999995</v>
      </c>
      <c r="P939" s="3">
        <f t="shared" si="25"/>
        <v>597.05999999999995</v>
      </c>
    </row>
    <row r="940" spans="1:16" x14ac:dyDescent="0.35">
      <c r="A940" t="s">
        <v>952</v>
      </c>
      <c r="B940" s="5">
        <v>45119</v>
      </c>
      <c r="C940" t="s">
        <v>2148</v>
      </c>
      <c r="E940" t="s">
        <v>2406</v>
      </c>
      <c r="F940">
        <v>3</v>
      </c>
      <c r="G940" s="7">
        <v>331.46</v>
      </c>
      <c r="H940" s="3" t="s">
        <v>2796</v>
      </c>
      <c r="I940" s="3" t="s">
        <v>3067</v>
      </c>
      <c r="J940" s="3" t="s">
        <v>3071</v>
      </c>
      <c r="K940" s="3" t="s">
        <v>4013</v>
      </c>
      <c r="L940" s="3">
        <v>6</v>
      </c>
      <c r="M940" s="10" t="s">
        <v>4277</v>
      </c>
      <c r="N940" s="3" t="s">
        <v>4279</v>
      </c>
      <c r="O940" s="7">
        <v>994.37999999999988</v>
      </c>
      <c r="P940" s="3">
        <f t="shared" si="25"/>
        <v>994.37999999999988</v>
      </c>
    </row>
    <row r="941" spans="1:16" x14ac:dyDescent="0.35">
      <c r="A941" t="s">
        <v>953</v>
      </c>
      <c r="B941" s="5">
        <v>45763</v>
      </c>
      <c r="C941" t="s">
        <v>2149</v>
      </c>
      <c r="E941" t="s">
        <v>2408</v>
      </c>
      <c r="F941">
        <v>2</v>
      </c>
      <c r="G941" s="7">
        <v>521.4</v>
      </c>
      <c r="H941" s="3" t="s">
        <v>2983</v>
      </c>
      <c r="I941" s="3" t="s">
        <v>3069</v>
      </c>
      <c r="J941" s="3" t="s">
        <v>3073</v>
      </c>
      <c r="K941" s="3" t="s">
        <v>4014</v>
      </c>
      <c r="L941" s="3">
        <v>7</v>
      </c>
      <c r="M941" s="10" t="s">
        <v>4275</v>
      </c>
      <c r="N941" s="3" t="s">
        <v>4278</v>
      </c>
      <c r="O941" s="7">
        <v>1042.8</v>
      </c>
      <c r="P941" s="3">
        <f t="shared" si="25"/>
        <v>1042.8</v>
      </c>
    </row>
    <row r="942" spans="1:16" x14ac:dyDescent="0.35">
      <c r="A942" t="s">
        <v>954</v>
      </c>
      <c r="B942" s="5">
        <v>45012</v>
      </c>
      <c r="C942" t="s">
        <v>2150</v>
      </c>
      <c r="E942" t="s">
        <v>2407</v>
      </c>
      <c r="F942">
        <v>4</v>
      </c>
      <c r="G942" s="7">
        <v>305.32</v>
      </c>
      <c r="H942" s="3" t="s">
        <v>2984</v>
      </c>
      <c r="I942" s="3" t="s">
        <v>3066</v>
      </c>
      <c r="J942" s="3" t="s">
        <v>3071</v>
      </c>
      <c r="K942" s="3" t="s">
        <v>4015</v>
      </c>
      <c r="L942" s="3">
        <v>4</v>
      </c>
      <c r="M942" s="10" t="s">
        <v>4275</v>
      </c>
      <c r="N942" s="3" t="s">
        <v>4282</v>
      </c>
      <c r="O942" s="7">
        <v>1221.28</v>
      </c>
      <c r="P942" s="3">
        <f t="shared" si="25"/>
        <v>1221.28</v>
      </c>
    </row>
    <row r="943" spans="1:16" x14ac:dyDescent="0.35">
      <c r="A943" t="s">
        <v>955</v>
      </c>
      <c r="B943" s="5">
        <v>45124</v>
      </c>
      <c r="C943" t="s">
        <v>1653</v>
      </c>
      <c r="E943" t="s">
        <v>2407</v>
      </c>
      <c r="F943">
        <v>5</v>
      </c>
      <c r="G943" s="7">
        <v>111.7</v>
      </c>
      <c r="H943" s="3" t="s">
        <v>2690</v>
      </c>
      <c r="I943" s="3" t="s">
        <v>3067</v>
      </c>
      <c r="J943" s="3" t="s">
        <v>3071</v>
      </c>
      <c r="K943" s="3" t="s">
        <v>4016</v>
      </c>
      <c r="L943" s="3">
        <v>9</v>
      </c>
      <c r="M943" s="10" t="s">
        <v>4276</v>
      </c>
      <c r="N943" s="3" t="s">
        <v>4280</v>
      </c>
      <c r="O943" s="7">
        <v>558.5</v>
      </c>
      <c r="P943" s="3">
        <f t="shared" si="25"/>
        <v>558.5</v>
      </c>
    </row>
    <row r="944" spans="1:16" x14ac:dyDescent="0.35">
      <c r="A944" t="s">
        <v>956</v>
      </c>
      <c r="B944" s="5">
        <v>45198</v>
      </c>
      <c r="C944" t="s">
        <v>2151</v>
      </c>
      <c r="E944" t="s">
        <v>2405</v>
      </c>
      <c r="F944">
        <v>1</v>
      </c>
      <c r="G944" s="7">
        <v>479.76</v>
      </c>
      <c r="H944" s="3" t="s">
        <v>2599</v>
      </c>
      <c r="I944" s="3" t="s">
        <v>3067</v>
      </c>
      <c r="J944" s="3" t="s">
        <v>3074</v>
      </c>
      <c r="K944" s="3" t="s">
        <v>4017</v>
      </c>
      <c r="L944" s="3">
        <v>1</v>
      </c>
      <c r="N944" s="3" t="s">
        <v>4280</v>
      </c>
      <c r="O944" s="7">
        <v>479.76</v>
      </c>
      <c r="P944" s="3">
        <f t="shared" si="25"/>
        <v>479.76</v>
      </c>
    </row>
    <row r="945" spans="1:16" x14ac:dyDescent="0.35">
      <c r="A945" t="s">
        <v>957</v>
      </c>
      <c r="B945" s="5">
        <v>45287</v>
      </c>
      <c r="C945" t="s">
        <v>2152</v>
      </c>
      <c r="E945" t="s">
        <v>2403</v>
      </c>
      <c r="F945">
        <v>3</v>
      </c>
      <c r="G945" s="7">
        <v>193.49</v>
      </c>
      <c r="H945" s="3" t="s">
        <v>2985</v>
      </c>
      <c r="I945" s="3" t="s">
        <v>3068</v>
      </c>
      <c r="J945" s="3" t="s">
        <v>3072</v>
      </c>
      <c r="K945" s="3" t="s">
        <v>4018</v>
      </c>
      <c r="L945" s="3">
        <v>6</v>
      </c>
      <c r="M945" s="10" t="s">
        <v>4276</v>
      </c>
      <c r="N945" s="3" t="s">
        <v>4281</v>
      </c>
      <c r="O945" s="7">
        <v>580.47</v>
      </c>
      <c r="P945" s="3">
        <f t="shared" si="25"/>
        <v>580.47</v>
      </c>
    </row>
    <row r="946" spans="1:16" x14ac:dyDescent="0.35">
      <c r="A946" t="s">
        <v>958</v>
      </c>
      <c r="B946" s="5">
        <v>45642</v>
      </c>
      <c r="C946" t="s">
        <v>2153</v>
      </c>
      <c r="E946" t="s">
        <v>2408</v>
      </c>
      <c r="F946">
        <v>2</v>
      </c>
      <c r="G946" s="7">
        <v>426.22</v>
      </c>
      <c r="H946" s="3" t="s">
        <v>2964</v>
      </c>
      <c r="I946" s="3" t="s">
        <v>3066</v>
      </c>
      <c r="J946" s="3" t="s">
        <v>3073</v>
      </c>
      <c r="K946" s="3" t="s">
        <v>4019</v>
      </c>
      <c r="L946" s="3">
        <v>7</v>
      </c>
      <c r="M946" s="10" t="s">
        <v>4277</v>
      </c>
      <c r="N946" s="3" t="s">
        <v>4282</v>
      </c>
      <c r="O946" s="7">
        <v>852.44</v>
      </c>
      <c r="P946" s="3">
        <f t="shared" si="25"/>
        <v>852.44</v>
      </c>
    </row>
    <row r="947" spans="1:16" x14ac:dyDescent="0.35">
      <c r="A947" t="s">
        <v>959</v>
      </c>
      <c r="B947" s="5">
        <v>45158</v>
      </c>
      <c r="C947" t="s">
        <v>2154</v>
      </c>
      <c r="E947" t="s">
        <v>2405</v>
      </c>
      <c r="F947">
        <v>5</v>
      </c>
      <c r="G947" s="7">
        <v>276.44</v>
      </c>
      <c r="H947" s="3" t="s">
        <v>2695</v>
      </c>
      <c r="I947" s="3" t="s">
        <v>3068</v>
      </c>
      <c r="J947" s="3" t="s">
        <v>3070</v>
      </c>
      <c r="K947" s="3" t="s">
        <v>4020</v>
      </c>
      <c r="L947" s="3">
        <v>10</v>
      </c>
      <c r="M947" s="10" t="s">
        <v>4276</v>
      </c>
      <c r="N947" s="3" t="s">
        <v>4279</v>
      </c>
      <c r="O947" s="7">
        <v>1382.2</v>
      </c>
      <c r="P947" s="3">
        <f t="shared" si="25"/>
        <v>1382.2</v>
      </c>
    </row>
    <row r="948" spans="1:16" x14ac:dyDescent="0.35">
      <c r="A948" t="s">
        <v>960</v>
      </c>
      <c r="B948" s="5">
        <v>45416</v>
      </c>
      <c r="C948" t="s">
        <v>2155</v>
      </c>
      <c r="E948" t="s">
        <v>2404</v>
      </c>
      <c r="F948">
        <v>2</v>
      </c>
      <c r="G948" s="7">
        <v>404.96</v>
      </c>
      <c r="H948" s="3" t="s">
        <v>2684</v>
      </c>
      <c r="I948" s="3" t="s">
        <v>3069</v>
      </c>
      <c r="J948" s="3" t="s">
        <v>3070</v>
      </c>
      <c r="K948" s="3" t="s">
        <v>4021</v>
      </c>
      <c r="L948" s="3">
        <v>4</v>
      </c>
      <c r="M948" s="10" t="s">
        <v>4275</v>
      </c>
      <c r="N948" s="3" t="s">
        <v>4280</v>
      </c>
      <c r="O948" s="7">
        <v>809.92</v>
      </c>
      <c r="P948" s="3">
        <f t="shared" si="25"/>
        <v>809.92</v>
      </c>
    </row>
    <row r="949" spans="1:16" x14ac:dyDescent="0.35">
      <c r="A949" t="s">
        <v>961</v>
      </c>
      <c r="B949" s="5">
        <v>45176</v>
      </c>
      <c r="C949" t="s">
        <v>2156</v>
      </c>
      <c r="E949" t="s">
        <v>2404</v>
      </c>
      <c r="F949">
        <v>4</v>
      </c>
      <c r="G949" s="7">
        <v>465.66</v>
      </c>
      <c r="H949" s="3" t="s">
        <v>2642</v>
      </c>
      <c r="I949" s="3" t="s">
        <v>3066</v>
      </c>
      <c r="J949" s="3" t="s">
        <v>3072</v>
      </c>
      <c r="K949" s="3" t="s">
        <v>4022</v>
      </c>
      <c r="L949" s="3">
        <v>9</v>
      </c>
      <c r="M949" s="10" t="s">
        <v>4276</v>
      </c>
      <c r="N949" s="3" t="s">
        <v>4280</v>
      </c>
      <c r="O949" s="7">
        <v>1862.64</v>
      </c>
      <c r="P949" s="3">
        <f t="shared" si="25"/>
        <v>1862.64</v>
      </c>
    </row>
    <row r="950" spans="1:16" x14ac:dyDescent="0.35">
      <c r="A950" t="s">
        <v>962</v>
      </c>
      <c r="B950" s="5">
        <v>45464</v>
      </c>
      <c r="C950" t="s">
        <v>1659</v>
      </c>
      <c r="E950" t="s">
        <v>2404</v>
      </c>
      <c r="F950">
        <v>2</v>
      </c>
      <c r="G950" s="7">
        <v>594.07000000000005</v>
      </c>
      <c r="H950" s="3" t="s">
        <v>2771</v>
      </c>
      <c r="I950" s="3" t="s">
        <v>3068</v>
      </c>
      <c r="J950" s="3" t="s">
        <v>3071</v>
      </c>
      <c r="K950" s="3" t="s">
        <v>4023</v>
      </c>
      <c r="L950" s="3">
        <v>2</v>
      </c>
      <c r="N950" s="3" t="s">
        <v>4282</v>
      </c>
      <c r="O950" s="7">
        <v>1188.1400000000001</v>
      </c>
      <c r="P950" s="3">
        <f t="shared" si="25"/>
        <v>1188.1400000000001</v>
      </c>
    </row>
    <row r="951" spans="1:16" x14ac:dyDescent="0.35">
      <c r="A951" t="s">
        <v>963</v>
      </c>
      <c r="B951" s="5">
        <v>45239</v>
      </c>
      <c r="C951" t="s">
        <v>2157</v>
      </c>
      <c r="E951" t="s">
        <v>2409</v>
      </c>
      <c r="F951">
        <v>5</v>
      </c>
      <c r="G951" s="7">
        <v>110.38</v>
      </c>
      <c r="H951" s="3" t="s">
        <v>2732</v>
      </c>
      <c r="I951" s="3" t="s">
        <v>3069</v>
      </c>
      <c r="J951" s="3" t="s">
        <v>3074</v>
      </c>
      <c r="K951" s="3" t="s">
        <v>4024</v>
      </c>
      <c r="L951" s="3">
        <v>10</v>
      </c>
      <c r="N951" s="3" t="s">
        <v>4279</v>
      </c>
      <c r="O951" s="7">
        <v>551.9</v>
      </c>
      <c r="P951" s="3">
        <f t="shared" si="25"/>
        <v>551.9</v>
      </c>
    </row>
    <row r="952" spans="1:16" x14ac:dyDescent="0.35">
      <c r="A952" t="s">
        <v>964</v>
      </c>
      <c r="B952" s="5">
        <v>45443</v>
      </c>
      <c r="C952" t="s">
        <v>2158</v>
      </c>
      <c r="E952" t="s">
        <v>2408</v>
      </c>
      <c r="F952">
        <v>1</v>
      </c>
      <c r="G952" s="7">
        <v>596.24</v>
      </c>
      <c r="H952" s="3" t="s">
        <v>2428</v>
      </c>
      <c r="I952" s="3" t="s">
        <v>3067</v>
      </c>
      <c r="J952" s="3" t="s">
        <v>3072</v>
      </c>
      <c r="K952" s="3" t="s">
        <v>4025</v>
      </c>
      <c r="L952" s="3">
        <v>4</v>
      </c>
      <c r="M952" s="10" t="s">
        <v>4276</v>
      </c>
      <c r="N952" s="3" t="s">
        <v>4278</v>
      </c>
      <c r="O952" s="7">
        <v>596.24</v>
      </c>
      <c r="P952" s="3">
        <f t="shared" si="25"/>
        <v>596.24</v>
      </c>
    </row>
    <row r="953" spans="1:16" x14ac:dyDescent="0.35">
      <c r="A953" t="s">
        <v>965</v>
      </c>
      <c r="B953" s="5">
        <v>45495</v>
      </c>
      <c r="C953" t="s">
        <v>2159</v>
      </c>
      <c r="E953" t="s">
        <v>2407</v>
      </c>
      <c r="F953">
        <v>2</v>
      </c>
      <c r="G953" s="7">
        <v>306.24</v>
      </c>
      <c r="H953" s="3" t="s">
        <v>2637</v>
      </c>
      <c r="I953" s="3" t="s">
        <v>3066</v>
      </c>
      <c r="J953" s="3" t="s">
        <v>3072</v>
      </c>
      <c r="K953" s="3" t="s">
        <v>4026</v>
      </c>
      <c r="L953" s="3">
        <v>4</v>
      </c>
      <c r="M953" s="10" t="s">
        <v>4276</v>
      </c>
      <c r="N953" s="3" t="s">
        <v>4280</v>
      </c>
      <c r="O953" s="7">
        <v>612.48</v>
      </c>
      <c r="P953" s="3">
        <f t="shared" si="25"/>
        <v>612.48</v>
      </c>
    </row>
    <row r="954" spans="1:16" x14ac:dyDescent="0.35">
      <c r="A954" t="s">
        <v>966</v>
      </c>
      <c r="B954" s="5">
        <v>45715</v>
      </c>
      <c r="C954" t="s">
        <v>2160</v>
      </c>
      <c r="E954" t="s">
        <v>2403</v>
      </c>
      <c r="F954">
        <v>3</v>
      </c>
      <c r="G954" s="7">
        <v>503.39</v>
      </c>
      <c r="H954" s="3" t="s">
        <v>2986</v>
      </c>
      <c r="I954" s="3" t="s">
        <v>3066</v>
      </c>
      <c r="J954" s="3" t="s">
        <v>3074</v>
      </c>
      <c r="K954" s="3" t="s">
        <v>4027</v>
      </c>
      <c r="L954" s="3">
        <v>5</v>
      </c>
      <c r="N954" s="3" t="s">
        <v>4281</v>
      </c>
      <c r="O954" s="7">
        <v>1510.17</v>
      </c>
      <c r="P954" s="3">
        <f t="shared" si="25"/>
        <v>1510.17</v>
      </c>
    </row>
    <row r="955" spans="1:16" x14ac:dyDescent="0.35">
      <c r="A955" t="s">
        <v>967</v>
      </c>
      <c r="B955" s="5">
        <v>44963</v>
      </c>
      <c r="C955" t="s">
        <v>2161</v>
      </c>
      <c r="E955" t="s">
        <v>2404</v>
      </c>
      <c r="F955">
        <v>1</v>
      </c>
      <c r="G955" s="7">
        <v>131.61000000000001</v>
      </c>
      <c r="H955" s="3" t="s">
        <v>2486</v>
      </c>
      <c r="I955" s="3" t="s">
        <v>3069</v>
      </c>
      <c r="J955" s="3" t="s">
        <v>3070</v>
      </c>
      <c r="K955" s="3" t="s">
        <v>4028</v>
      </c>
      <c r="L955" s="3">
        <v>2</v>
      </c>
      <c r="M955" s="10" t="s">
        <v>4276</v>
      </c>
      <c r="N955" s="3" t="s">
        <v>4281</v>
      </c>
      <c r="O955" s="7">
        <v>131.61000000000001</v>
      </c>
      <c r="P955" s="3">
        <f t="shared" si="25"/>
        <v>131.61000000000001</v>
      </c>
    </row>
    <row r="956" spans="1:16" x14ac:dyDescent="0.35">
      <c r="A956" t="s">
        <v>968</v>
      </c>
      <c r="B956" s="5">
        <v>45587</v>
      </c>
      <c r="C956" t="s">
        <v>2162</v>
      </c>
      <c r="E956" t="s">
        <v>2406</v>
      </c>
      <c r="F956">
        <v>3</v>
      </c>
      <c r="G956" s="7">
        <v>443.44</v>
      </c>
      <c r="H956" s="3" t="s">
        <v>2556</v>
      </c>
      <c r="I956" s="3" t="s">
        <v>3068</v>
      </c>
      <c r="J956" s="3" t="s">
        <v>3070</v>
      </c>
      <c r="K956" s="3" t="s">
        <v>4029</v>
      </c>
      <c r="L956" s="3">
        <v>3</v>
      </c>
      <c r="M956" s="10" t="s">
        <v>4276</v>
      </c>
      <c r="N956" s="3" t="s">
        <v>4282</v>
      </c>
      <c r="O956" s="7">
        <v>1330.32</v>
      </c>
      <c r="P956" s="3">
        <f t="shared" si="25"/>
        <v>1330.32</v>
      </c>
    </row>
    <row r="957" spans="1:16" x14ac:dyDescent="0.35">
      <c r="A957" t="s">
        <v>969</v>
      </c>
      <c r="B957" s="5">
        <v>44949</v>
      </c>
      <c r="C957" t="s">
        <v>2163</v>
      </c>
      <c r="E957" t="s">
        <v>2406</v>
      </c>
      <c r="F957">
        <v>1</v>
      </c>
      <c r="G957" s="7">
        <v>408.13</v>
      </c>
      <c r="H957" s="3" t="s">
        <v>2623</v>
      </c>
      <c r="I957" s="3" t="s">
        <v>3068</v>
      </c>
      <c r="J957" s="3" t="s">
        <v>3070</v>
      </c>
      <c r="K957" s="3" t="s">
        <v>4030</v>
      </c>
      <c r="L957" s="3">
        <v>3</v>
      </c>
      <c r="M957" s="10" t="s">
        <v>4277</v>
      </c>
      <c r="N957" s="3" t="s">
        <v>4278</v>
      </c>
      <c r="O957" s="7">
        <v>408.13</v>
      </c>
      <c r="P957" s="3">
        <f t="shared" si="25"/>
        <v>408.13</v>
      </c>
    </row>
    <row r="958" spans="1:16" x14ac:dyDescent="0.35">
      <c r="A958" t="s">
        <v>970</v>
      </c>
      <c r="B958" s="5">
        <v>45393</v>
      </c>
      <c r="C958" t="s">
        <v>1995</v>
      </c>
      <c r="E958" t="s">
        <v>2404</v>
      </c>
      <c r="F958">
        <v>2</v>
      </c>
      <c r="G958" s="7">
        <v>160.97999999999999</v>
      </c>
      <c r="H958" s="3" t="s">
        <v>2987</v>
      </c>
      <c r="I958" s="3" t="s">
        <v>3065</v>
      </c>
      <c r="J958" s="3" t="s">
        <v>3073</v>
      </c>
      <c r="K958" s="3" t="s">
        <v>4031</v>
      </c>
      <c r="L958" s="3">
        <v>3</v>
      </c>
      <c r="M958" s="10" t="s">
        <v>4275</v>
      </c>
      <c r="N958" s="3" t="s">
        <v>4279</v>
      </c>
      <c r="O958" s="7">
        <v>321.95999999999998</v>
      </c>
      <c r="P958" s="3">
        <f t="shared" si="25"/>
        <v>321.95999999999998</v>
      </c>
    </row>
    <row r="959" spans="1:16" x14ac:dyDescent="0.35">
      <c r="A959" t="s">
        <v>971</v>
      </c>
      <c r="B959" s="5">
        <v>44938</v>
      </c>
      <c r="C959" t="s">
        <v>2164</v>
      </c>
      <c r="E959" t="s">
        <v>2403</v>
      </c>
      <c r="F959">
        <v>5</v>
      </c>
      <c r="G959" s="7">
        <v>643.89</v>
      </c>
      <c r="H959" s="3" t="s">
        <v>2988</v>
      </c>
      <c r="I959" s="3" t="s">
        <v>3069</v>
      </c>
      <c r="J959" s="3" t="s">
        <v>3072</v>
      </c>
      <c r="K959" s="3" t="s">
        <v>4032</v>
      </c>
      <c r="L959" s="3">
        <v>8</v>
      </c>
      <c r="M959" s="10" t="s">
        <v>4277</v>
      </c>
      <c r="N959" s="3" t="s">
        <v>4281</v>
      </c>
      <c r="O959" s="7">
        <v>3219.45</v>
      </c>
      <c r="P959" s="3">
        <f t="shared" si="25"/>
        <v>3219.45</v>
      </c>
    </row>
    <row r="960" spans="1:16" x14ac:dyDescent="0.35">
      <c r="A960" t="s">
        <v>972</v>
      </c>
      <c r="B960" s="5">
        <v>45059</v>
      </c>
      <c r="C960" t="s">
        <v>2165</v>
      </c>
      <c r="E960" t="s">
        <v>2409</v>
      </c>
      <c r="F960">
        <v>3</v>
      </c>
      <c r="G960" s="7">
        <v>158.66</v>
      </c>
      <c r="H960" s="3" t="s">
        <v>2656</v>
      </c>
      <c r="I960" s="3" t="s">
        <v>3068</v>
      </c>
      <c r="J960" s="3" t="s">
        <v>3073</v>
      </c>
      <c r="K960" s="3" t="s">
        <v>4033</v>
      </c>
      <c r="L960" s="3">
        <v>7</v>
      </c>
      <c r="M960" s="10" t="s">
        <v>4277</v>
      </c>
      <c r="N960" s="3" t="s">
        <v>4280</v>
      </c>
      <c r="O960" s="7">
        <v>475.98</v>
      </c>
      <c r="P960" s="3">
        <f t="shared" si="25"/>
        <v>475.98</v>
      </c>
    </row>
    <row r="961" spans="1:16" x14ac:dyDescent="0.35">
      <c r="A961" t="s">
        <v>973</v>
      </c>
      <c r="B961" s="5">
        <v>45395</v>
      </c>
      <c r="C961" t="s">
        <v>2166</v>
      </c>
      <c r="E961" t="s">
        <v>2405</v>
      </c>
      <c r="F961">
        <v>2</v>
      </c>
      <c r="G961" s="7">
        <v>143.82</v>
      </c>
      <c r="H961" s="3" t="s">
        <v>2662</v>
      </c>
      <c r="I961" s="3" t="s">
        <v>3067</v>
      </c>
      <c r="J961" s="3" t="s">
        <v>3072</v>
      </c>
      <c r="K961" s="3" t="s">
        <v>4034</v>
      </c>
      <c r="L961" s="3">
        <v>6</v>
      </c>
      <c r="M961" s="10" t="s">
        <v>4275</v>
      </c>
      <c r="N961" s="3" t="s">
        <v>4278</v>
      </c>
      <c r="O961" s="7">
        <v>287.64</v>
      </c>
      <c r="P961" s="3">
        <f t="shared" si="25"/>
        <v>287.64</v>
      </c>
    </row>
    <row r="962" spans="1:16" x14ac:dyDescent="0.35">
      <c r="A962" t="s">
        <v>974</v>
      </c>
      <c r="B962" s="5">
        <v>45271</v>
      </c>
      <c r="C962" t="s">
        <v>2167</v>
      </c>
      <c r="E962" t="s">
        <v>2408</v>
      </c>
      <c r="F962">
        <v>3</v>
      </c>
      <c r="G962" s="7">
        <v>379.07</v>
      </c>
      <c r="H962" s="3" t="s">
        <v>2714</v>
      </c>
      <c r="I962" s="3" t="s">
        <v>3068</v>
      </c>
      <c r="J962" s="3" t="s">
        <v>3074</v>
      </c>
      <c r="K962" s="3" t="s">
        <v>4035</v>
      </c>
      <c r="L962" s="3">
        <v>3</v>
      </c>
      <c r="M962" s="10" t="s">
        <v>4277</v>
      </c>
      <c r="N962" s="3" t="s">
        <v>4282</v>
      </c>
      <c r="O962" s="7">
        <v>1137.21</v>
      </c>
      <c r="P962" s="3">
        <f t="shared" si="25"/>
        <v>1137.21</v>
      </c>
    </row>
    <row r="963" spans="1:16" x14ac:dyDescent="0.35">
      <c r="A963" t="s">
        <v>975</v>
      </c>
      <c r="B963" s="5">
        <v>45607</v>
      </c>
      <c r="C963" t="s">
        <v>2168</v>
      </c>
      <c r="E963" t="s">
        <v>2404</v>
      </c>
      <c r="F963">
        <v>1</v>
      </c>
      <c r="G963" s="7">
        <v>601.36</v>
      </c>
      <c r="H963" s="3" t="s">
        <v>2685</v>
      </c>
      <c r="I963" s="3" t="s">
        <v>3066</v>
      </c>
      <c r="J963" s="3" t="s">
        <v>3070</v>
      </c>
      <c r="K963" s="3" t="s">
        <v>4036</v>
      </c>
      <c r="L963" s="3">
        <v>1</v>
      </c>
      <c r="N963" s="3" t="s">
        <v>4281</v>
      </c>
      <c r="O963" s="7">
        <v>601.36</v>
      </c>
      <c r="P963" s="3">
        <f t="shared" ref="P963:P1026" si="26">G963*F963</f>
        <v>601.36</v>
      </c>
    </row>
    <row r="964" spans="1:16" x14ac:dyDescent="0.35">
      <c r="A964" t="s">
        <v>976</v>
      </c>
      <c r="B964" s="5">
        <v>45541</v>
      </c>
      <c r="C964" t="s">
        <v>2169</v>
      </c>
      <c r="E964" t="s">
        <v>2404</v>
      </c>
      <c r="F964">
        <v>2</v>
      </c>
      <c r="G964" s="7">
        <v>142.08000000000001</v>
      </c>
      <c r="H964" s="3" t="s">
        <v>2621</v>
      </c>
      <c r="I964" s="3" t="s">
        <v>3068</v>
      </c>
      <c r="J964" s="3" t="s">
        <v>3073</v>
      </c>
      <c r="K964" s="3" t="s">
        <v>4037</v>
      </c>
      <c r="L964" s="3">
        <v>4</v>
      </c>
      <c r="M964" s="10" t="s">
        <v>4275</v>
      </c>
      <c r="N964" s="3" t="s">
        <v>4279</v>
      </c>
      <c r="O964" s="7">
        <v>284.16000000000003</v>
      </c>
      <c r="P964" s="3">
        <f t="shared" si="26"/>
        <v>284.16000000000003</v>
      </c>
    </row>
    <row r="965" spans="1:16" x14ac:dyDescent="0.35">
      <c r="A965" t="s">
        <v>977</v>
      </c>
      <c r="B965" s="5">
        <v>45362</v>
      </c>
      <c r="C965" t="s">
        <v>2170</v>
      </c>
      <c r="E965" t="s">
        <v>2406</v>
      </c>
      <c r="F965">
        <v>5</v>
      </c>
      <c r="G965" s="7">
        <v>530.34</v>
      </c>
      <c r="H965" s="3" t="s">
        <v>2572</v>
      </c>
      <c r="I965" s="3" t="s">
        <v>3066</v>
      </c>
      <c r="J965" s="3" t="s">
        <v>3070</v>
      </c>
      <c r="K965" s="3" t="s">
        <v>4038</v>
      </c>
      <c r="L965" s="3">
        <v>9</v>
      </c>
      <c r="M965" s="10" t="s">
        <v>4276</v>
      </c>
      <c r="N965" s="3" t="s">
        <v>4282</v>
      </c>
      <c r="O965" s="7">
        <v>2651.7</v>
      </c>
      <c r="P965" s="3">
        <f t="shared" si="26"/>
        <v>2651.7000000000003</v>
      </c>
    </row>
    <row r="966" spans="1:16" x14ac:dyDescent="0.35">
      <c r="A966" t="s">
        <v>978</v>
      </c>
      <c r="B966" s="5">
        <v>45158</v>
      </c>
      <c r="C966" t="s">
        <v>2171</v>
      </c>
      <c r="E966" t="s">
        <v>2404</v>
      </c>
      <c r="F966">
        <v>5</v>
      </c>
      <c r="G966" s="7">
        <v>364.42</v>
      </c>
      <c r="H966" s="3" t="s">
        <v>2730</v>
      </c>
      <c r="I966" s="3" t="s">
        <v>3067</v>
      </c>
      <c r="J966" s="3" t="s">
        <v>3071</v>
      </c>
      <c r="K966" s="3" t="s">
        <v>4039</v>
      </c>
      <c r="L966" s="3">
        <v>10</v>
      </c>
      <c r="M966" s="10" t="s">
        <v>4275</v>
      </c>
      <c r="N966" s="3" t="s">
        <v>4279</v>
      </c>
      <c r="O966" s="7">
        <v>1822.1</v>
      </c>
      <c r="P966" s="3">
        <f t="shared" si="26"/>
        <v>1822.1000000000001</v>
      </c>
    </row>
    <row r="967" spans="1:16" x14ac:dyDescent="0.35">
      <c r="A967" t="s">
        <v>979</v>
      </c>
      <c r="B967" s="5">
        <v>45826</v>
      </c>
      <c r="C967" t="s">
        <v>2172</v>
      </c>
      <c r="E967" t="s">
        <v>2408</v>
      </c>
      <c r="F967">
        <v>4</v>
      </c>
      <c r="G967" s="7">
        <v>578.28</v>
      </c>
      <c r="H967" s="3" t="s">
        <v>2641</v>
      </c>
      <c r="I967" s="3" t="s">
        <v>3068</v>
      </c>
      <c r="J967" s="3" t="s">
        <v>3071</v>
      </c>
      <c r="K967" s="3" t="s">
        <v>4040</v>
      </c>
      <c r="L967" s="3">
        <v>5</v>
      </c>
      <c r="M967" s="10" t="s">
        <v>4276</v>
      </c>
      <c r="N967" s="3" t="s">
        <v>4280</v>
      </c>
      <c r="O967" s="7">
        <v>2313.12</v>
      </c>
      <c r="P967" s="3">
        <f t="shared" si="26"/>
        <v>2313.12</v>
      </c>
    </row>
    <row r="968" spans="1:16" x14ac:dyDescent="0.35">
      <c r="A968" t="s">
        <v>980</v>
      </c>
      <c r="B968" s="5">
        <v>45797</v>
      </c>
      <c r="C968" t="s">
        <v>2173</v>
      </c>
      <c r="E968" t="s">
        <v>2403</v>
      </c>
      <c r="F968">
        <v>5</v>
      </c>
      <c r="G968" s="7">
        <v>280.52</v>
      </c>
      <c r="H968" s="3" t="s">
        <v>2989</v>
      </c>
      <c r="I968" s="3" t="s">
        <v>3067</v>
      </c>
      <c r="J968" s="3" t="s">
        <v>3071</v>
      </c>
      <c r="K968" s="3" t="s">
        <v>4041</v>
      </c>
      <c r="L968" s="3">
        <v>7</v>
      </c>
      <c r="M968" s="10" t="s">
        <v>4277</v>
      </c>
      <c r="N968" s="3" t="s">
        <v>4281</v>
      </c>
      <c r="O968" s="7">
        <v>1402.6</v>
      </c>
      <c r="P968" s="3">
        <f t="shared" si="26"/>
        <v>1402.6</v>
      </c>
    </row>
    <row r="969" spans="1:16" x14ac:dyDescent="0.35">
      <c r="A969" t="s">
        <v>981</v>
      </c>
      <c r="B969" s="5">
        <v>45783</v>
      </c>
      <c r="C969" t="s">
        <v>2174</v>
      </c>
      <c r="E969" t="s">
        <v>2405</v>
      </c>
      <c r="F969">
        <v>5</v>
      </c>
      <c r="G969" s="7">
        <v>638.91999999999996</v>
      </c>
      <c r="H969" s="3" t="s">
        <v>2990</v>
      </c>
      <c r="I969" s="3" t="s">
        <v>3067</v>
      </c>
      <c r="J969" s="3" t="s">
        <v>3072</v>
      </c>
      <c r="K969" s="3" t="s">
        <v>4042</v>
      </c>
      <c r="L969" s="3">
        <v>5</v>
      </c>
      <c r="M969" s="10" t="s">
        <v>4276</v>
      </c>
      <c r="N969" s="3" t="s">
        <v>4282</v>
      </c>
      <c r="O969" s="7">
        <v>3194.6</v>
      </c>
      <c r="P969" s="3">
        <f t="shared" si="26"/>
        <v>3194.6</v>
      </c>
    </row>
    <row r="970" spans="1:16" x14ac:dyDescent="0.35">
      <c r="A970" t="s">
        <v>982</v>
      </c>
      <c r="B970" s="5">
        <v>45330</v>
      </c>
      <c r="C970" t="s">
        <v>2175</v>
      </c>
      <c r="E970" t="s">
        <v>2403</v>
      </c>
      <c r="F970">
        <v>4</v>
      </c>
      <c r="G970" s="7">
        <v>412.2</v>
      </c>
      <c r="H970" s="3" t="s">
        <v>2943</v>
      </c>
      <c r="I970" s="3" t="s">
        <v>3067</v>
      </c>
      <c r="J970" s="3" t="s">
        <v>3070</v>
      </c>
      <c r="K970" s="3" t="s">
        <v>4043</v>
      </c>
      <c r="L970" s="3">
        <v>6</v>
      </c>
      <c r="M970" s="10" t="s">
        <v>4277</v>
      </c>
      <c r="N970" s="3" t="s">
        <v>4279</v>
      </c>
      <c r="O970" s="7">
        <v>1648.8</v>
      </c>
      <c r="P970" s="3">
        <f t="shared" si="26"/>
        <v>1648.8</v>
      </c>
    </row>
    <row r="971" spans="1:16" x14ac:dyDescent="0.35">
      <c r="A971" t="s">
        <v>983</v>
      </c>
      <c r="B971" s="5">
        <v>45813</v>
      </c>
      <c r="C971" t="s">
        <v>2176</v>
      </c>
      <c r="E971" t="s">
        <v>2409</v>
      </c>
      <c r="F971">
        <v>1</v>
      </c>
      <c r="G971" s="7">
        <v>440.34</v>
      </c>
      <c r="H971" s="3" t="s">
        <v>2991</v>
      </c>
      <c r="I971" s="3" t="s">
        <v>3068</v>
      </c>
      <c r="J971" s="3" t="s">
        <v>3070</v>
      </c>
      <c r="K971" s="3" t="s">
        <v>4044</v>
      </c>
      <c r="L971" s="3">
        <v>2</v>
      </c>
      <c r="M971" s="10" t="s">
        <v>4277</v>
      </c>
      <c r="N971" s="3" t="s">
        <v>4281</v>
      </c>
      <c r="O971" s="7">
        <v>440.34</v>
      </c>
      <c r="P971" s="3">
        <f t="shared" si="26"/>
        <v>440.34</v>
      </c>
    </row>
    <row r="972" spans="1:16" x14ac:dyDescent="0.35">
      <c r="A972" t="s">
        <v>984</v>
      </c>
      <c r="B972" s="5">
        <v>45542</v>
      </c>
      <c r="C972" t="s">
        <v>2177</v>
      </c>
      <c r="E972" t="s">
        <v>2409</v>
      </c>
      <c r="F972">
        <v>1</v>
      </c>
      <c r="G972" s="7">
        <v>627.15</v>
      </c>
      <c r="H972" s="3" t="s">
        <v>2992</v>
      </c>
      <c r="I972" s="3" t="s">
        <v>3069</v>
      </c>
      <c r="J972" s="3" t="s">
        <v>3073</v>
      </c>
      <c r="K972" s="3" t="s">
        <v>4045</v>
      </c>
      <c r="L972" s="3">
        <v>5</v>
      </c>
      <c r="M972" s="10" t="s">
        <v>4275</v>
      </c>
      <c r="N972" s="3" t="s">
        <v>4278</v>
      </c>
      <c r="O972" s="7">
        <v>627.15</v>
      </c>
      <c r="P972" s="3">
        <f t="shared" si="26"/>
        <v>627.15</v>
      </c>
    </row>
    <row r="973" spans="1:16" x14ac:dyDescent="0.35">
      <c r="A973" t="s">
        <v>985</v>
      </c>
      <c r="B973" s="5">
        <v>45439</v>
      </c>
      <c r="C973" t="s">
        <v>2178</v>
      </c>
      <c r="E973" t="s">
        <v>2403</v>
      </c>
      <c r="F973">
        <v>2</v>
      </c>
      <c r="G973" s="7">
        <v>605.26</v>
      </c>
      <c r="H973" s="3" t="s">
        <v>2415</v>
      </c>
      <c r="I973" s="3" t="s">
        <v>3069</v>
      </c>
      <c r="J973" s="3" t="s">
        <v>3071</v>
      </c>
      <c r="K973" s="3" t="s">
        <v>4046</v>
      </c>
      <c r="L973" s="3">
        <v>4</v>
      </c>
      <c r="M973" s="10" t="s">
        <v>4277</v>
      </c>
      <c r="N973" s="3" t="s">
        <v>4279</v>
      </c>
      <c r="O973" s="7">
        <v>1210.52</v>
      </c>
      <c r="P973" s="3">
        <f t="shared" si="26"/>
        <v>1210.52</v>
      </c>
    </row>
    <row r="974" spans="1:16" x14ac:dyDescent="0.35">
      <c r="A974" t="s">
        <v>986</v>
      </c>
      <c r="B974" s="5">
        <v>45452</v>
      </c>
      <c r="C974" t="s">
        <v>2179</v>
      </c>
      <c r="E974" t="s">
        <v>2408</v>
      </c>
      <c r="F974">
        <v>1</v>
      </c>
      <c r="G974" s="7">
        <v>90.27</v>
      </c>
      <c r="H974" s="3" t="s">
        <v>2993</v>
      </c>
      <c r="I974" s="3" t="s">
        <v>3069</v>
      </c>
      <c r="J974" s="3" t="s">
        <v>3073</v>
      </c>
      <c r="K974" s="3" t="s">
        <v>4047</v>
      </c>
      <c r="L974" s="3">
        <v>5</v>
      </c>
      <c r="M974" s="10" t="s">
        <v>4275</v>
      </c>
      <c r="N974" s="3" t="s">
        <v>4281</v>
      </c>
      <c r="O974" s="7">
        <v>90.27</v>
      </c>
      <c r="P974" s="3">
        <f t="shared" si="26"/>
        <v>90.27</v>
      </c>
    </row>
    <row r="975" spans="1:16" x14ac:dyDescent="0.35">
      <c r="A975" t="s">
        <v>987</v>
      </c>
      <c r="B975" s="5">
        <v>45817</v>
      </c>
      <c r="C975" t="s">
        <v>2180</v>
      </c>
      <c r="E975" t="s">
        <v>2409</v>
      </c>
      <c r="F975">
        <v>5</v>
      </c>
      <c r="G975" s="7">
        <v>230.77</v>
      </c>
      <c r="H975" s="3" t="s">
        <v>2977</v>
      </c>
      <c r="I975" s="3" t="s">
        <v>3066</v>
      </c>
      <c r="J975" s="3" t="s">
        <v>3074</v>
      </c>
      <c r="K975" s="3" t="s">
        <v>4048</v>
      </c>
      <c r="L975" s="3">
        <v>10</v>
      </c>
      <c r="M975" s="10" t="s">
        <v>4277</v>
      </c>
      <c r="N975" s="3" t="s">
        <v>4279</v>
      </c>
      <c r="O975" s="7">
        <v>1153.8499999999999</v>
      </c>
      <c r="P975" s="3">
        <f t="shared" si="26"/>
        <v>1153.8500000000001</v>
      </c>
    </row>
    <row r="976" spans="1:16" x14ac:dyDescent="0.35">
      <c r="A976" t="s">
        <v>988</v>
      </c>
      <c r="B976" s="5">
        <v>45196</v>
      </c>
      <c r="C976" t="s">
        <v>2181</v>
      </c>
      <c r="E976" t="s">
        <v>2409</v>
      </c>
      <c r="F976">
        <v>5</v>
      </c>
      <c r="G976" s="7">
        <v>266.77999999999997</v>
      </c>
      <c r="H976" s="3" t="s">
        <v>2673</v>
      </c>
      <c r="I976" s="3" t="s">
        <v>3068</v>
      </c>
      <c r="J976" s="3" t="s">
        <v>3071</v>
      </c>
      <c r="K976" s="3" t="s">
        <v>4049</v>
      </c>
      <c r="L976" s="3">
        <v>5</v>
      </c>
      <c r="N976" s="3" t="s">
        <v>4280</v>
      </c>
      <c r="O976" s="7">
        <v>1333.9</v>
      </c>
      <c r="P976" s="3">
        <f t="shared" si="26"/>
        <v>1333.8999999999999</v>
      </c>
    </row>
    <row r="977" spans="1:16" x14ac:dyDescent="0.35">
      <c r="A977" t="s">
        <v>989</v>
      </c>
      <c r="B977" s="5">
        <v>45064</v>
      </c>
      <c r="C977" t="s">
        <v>2182</v>
      </c>
      <c r="E977" t="s">
        <v>2409</v>
      </c>
      <c r="F977">
        <v>1</v>
      </c>
      <c r="G977" s="7">
        <v>105.92</v>
      </c>
      <c r="H977" s="3" t="s">
        <v>2643</v>
      </c>
      <c r="I977" s="3" t="s">
        <v>3068</v>
      </c>
      <c r="J977" s="3" t="s">
        <v>3072</v>
      </c>
      <c r="K977" s="3" t="s">
        <v>4050</v>
      </c>
      <c r="L977" s="3">
        <v>6</v>
      </c>
      <c r="M977" s="10" t="s">
        <v>4275</v>
      </c>
      <c r="N977" s="3" t="s">
        <v>4280</v>
      </c>
      <c r="O977" s="7">
        <v>105.92</v>
      </c>
      <c r="P977" s="3">
        <f t="shared" si="26"/>
        <v>105.92</v>
      </c>
    </row>
    <row r="978" spans="1:16" x14ac:dyDescent="0.35">
      <c r="A978" t="s">
        <v>990</v>
      </c>
      <c r="B978" s="5">
        <v>45386</v>
      </c>
      <c r="C978" t="s">
        <v>2183</v>
      </c>
      <c r="E978" t="s">
        <v>2405</v>
      </c>
      <c r="F978">
        <v>3</v>
      </c>
      <c r="G978" s="7">
        <v>589.29999999999995</v>
      </c>
      <c r="H978" s="3" t="s">
        <v>2941</v>
      </c>
      <c r="I978" s="3" t="s">
        <v>3067</v>
      </c>
      <c r="J978" s="3" t="s">
        <v>3072</v>
      </c>
      <c r="K978" s="3" t="s">
        <v>4051</v>
      </c>
      <c r="L978" s="3">
        <v>6</v>
      </c>
      <c r="M978" s="10" t="s">
        <v>4277</v>
      </c>
      <c r="N978" s="3" t="s">
        <v>4279</v>
      </c>
      <c r="O978" s="7">
        <v>1767.9</v>
      </c>
      <c r="P978" s="3">
        <f t="shared" si="26"/>
        <v>1767.8999999999999</v>
      </c>
    </row>
    <row r="979" spans="1:16" x14ac:dyDescent="0.35">
      <c r="A979" t="s">
        <v>991</v>
      </c>
      <c r="B979" s="5">
        <v>44954</v>
      </c>
      <c r="C979" t="s">
        <v>2184</v>
      </c>
      <c r="E979" t="s">
        <v>2406</v>
      </c>
      <c r="F979">
        <v>4</v>
      </c>
      <c r="G979" s="7">
        <v>649.47</v>
      </c>
      <c r="H979" s="3" t="s">
        <v>2994</v>
      </c>
      <c r="I979" s="3" t="s">
        <v>3069</v>
      </c>
      <c r="J979" s="3" t="s">
        <v>3074</v>
      </c>
      <c r="K979" s="3" t="s">
        <v>4052</v>
      </c>
      <c r="L979" s="3">
        <v>8</v>
      </c>
      <c r="M979" s="10" t="s">
        <v>4275</v>
      </c>
      <c r="N979" s="3" t="s">
        <v>4282</v>
      </c>
      <c r="O979" s="7">
        <v>2597.88</v>
      </c>
      <c r="P979" s="3">
        <f t="shared" si="26"/>
        <v>2597.88</v>
      </c>
    </row>
    <row r="980" spans="1:16" x14ac:dyDescent="0.35">
      <c r="A980" t="s">
        <v>992</v>
      </c>
      <c r="B980" s="5">
        <v>45468</v>
      </c>
      <c r="C980" t="s">
        <v>2185</v>
      </c>
      <c r="E980" t="s">
        <v>2407</v>
      </c>
      <c r="F980">
        <v>4</v>
      </c>
      <c r="G980" s="7">
        <v>107.49</v>
      </c>
      <c r="H980" s="3" t="s">
        <v>2887</v>
      </c>
      <c r="I980" s="3" t="s">
        <v>3069</v>
      </c>
      <c r="J980" s="3" t="s">
        <v>3073</v>
      </c>
      <c r="K980" s="3" t="s">
        <v>4053</v>
      </c>
      <c r="L980" s="3">
        <v>5</v>
      </c>
      <c r="N980" s="3" t="s">
        <v>4282</v>
      </c>
      <c r="O980" s="7">
        <v>429.96</v>
      </c>
      <c r="P980" s="3">
        <f t="shared" si="26"/>
        <v>429.96</v>
      </c>
    </row>
    <row r="981" spans="1:16" x14ac:dyDescent="0.35">
      <c r="A981" t="s">
        <v>993</v>
      </c>
      <c r="B981" s="5">
        <v>45077</v>
      </c>
      <c r="C981" t="s">
        <v>2186</v>
      </c>
      <c r="E981" t="s">
        <v>2403</v>
      </c>
      <c r="F981">
        <v>3</v>
      </c>
      <c r="G981" s="7">
        <v>669.06</v>
      </c>
      <c r="H981" s="3" t="s">
        <v>2648</v>
      </c>
      <c r="I981" s="3" t="s">
        <v>3069</v>
      </c>
      <c r="J981" s="3" t="s">
        <v>3073</v>
      </c>
      <c r="K981" s="3" t="s">
        <v>4054</v>
      </c>
      <c r="L981" s="3">
        <v>7</v>
      </c>
      <c r="M981" s="10" t="s">
        <v>4275</v>
      </c>
      <c r="N981" s="3" t="s">
        <v>4281</v>
      </c>
      <c r="O981" s="7">
        <v>2007.18</v>
      </c>
      <c r="P981" s="3">
        <f t="shared" si="26"/>
        <v>2007.1799999999998</v>
      </c>
    </row>
    <row r="982" spans="1:16" x14ac:dyDescent="0.35">
      <c r="A982" t="s">
        <v>994</v>
      </c>
      <c r="B982" s="5">
        <v>45213</v>
      </c>
      <c r="C982" t="s">
        <v>2187</v>
      </c>
      <c r="E982" t="s">
        <v>2406</v>
      </c>
      <c r="F982">
        <v>3</v>
      </c>
      <c r="G982" s="7">
        <v>69.650000000000006</v>
      </c>
      <c r="H982" s="3" t="s">
        <v>2995</v>
      </c>
      <c r="I982" s="3" t="s">
        <v>3069</v>
      </c>
      <c r="J982" s="3" t="s">
        <v>3073</v>
      </c>
      <c r="K982" s="3" t="s">
        <v>4055</v>
      </c>
      <c r="L982" s="3">
        <v>7</v>
      </c>
      <c r="M982" s="10" t="s">
        <v>4277</v>
      </c>
      <c r="N982" s="3" t="s">
        <v>4278</v>
      </c>
      <c r="O982" s="7">
        <v>208.95</v>
      </c>
      <c r="P982" s="3">
        <f t="shared" si="26"/>
        <v>208.95000000000002</v>
      </c>
    </row>
    <row r="983" spans="1:16" x14ac:dyDescent="0.35">
      <c r="A983" t="s">
        <v>995</v>
      </c>
      <c r="B983" s="5">
        <v>45256</v>
      </c>
      <c r="C983" t="s">
        <v>2188</v>
      </c>
      <c r="E983" t="s">
        <v>2404</v>
      </c>
      <c r="F983">
        <v>4</v>
      </c>
      <c r="G983" s="7">
        <v>136.83000000000001</v>
      </c>
      <c r="H983" s="3" t="s">
        <v>2996</v>
      </c>
      <c r="I983" s="3" t="s">
        <v>3065</v>
      </c>
      <c r="J983" s="3" t="s">
        <v>3074</v>
      </c>
      <c r="K983" s="3" t="s">
        <v>4056</v>
      </c>
      <c r="L983" s="3">
        <v>8</v>
      </c>
      <c r="M983" s="10" t="s">
        <v>4275</v>
      </c>
      <c r="N983" s="3" t="s">
        <v>4280</v>
      </c>
      <c r="O983" s="7">
        <v>547.32000000000005</v>
      </c>
      <c r="P983" s="3">
        <f t="shared" si="26"/>
        <v>547.32000000000005</v>
      </c>
    </row>
    <row r="984" spans="1:16" x14ac:dyDescent="0.35">
      <c r="A984" t="s">
        <v>996</v>
      </c>
      <c r="B984" s="5">
        <v>45541</v>
      </c>
      <c r="C984" t="s">
        <v>2189</v>
      </c>
      <c r="E984" t="s">
        <v>2403</v>
      </c>
      <c r="F984">
        <v>1</v>
      </c>
      <c r="G984" s="7">
        <v>304.11</v>
      </c>
      <c r="H984" s="3" t="s">
        <v>2889</v>
      </c>
      <c r="I984" s="3" t="s">
        <v>3068</v>
      </c>
      <c r="J984" s="3" t="s">
        <v>3070</v>
      </c>
      <c r="K984" s="3" t="s">
        <v>4057</v>
      </c>
      <c r="L984" s="3">
        <v>2</v>
      </c>
      <c r="M984" s="10" t="s">
        <v>4275</v>
      </c>
      <c r="N984" s="3" t="s">
        <v>4279</v>
      </c>
      <c r="O984" s="7">
        <v>304.11</v>
      </c>
      <c r="P984" s="3">
        <f t="shared" si="26"/>
        <v>304.11</v>
      </c>
    </row>
    <row r="985" spans="1:16" x14ac:dyDescent="0.35">
      <c r="A985" t="s">
        <v>997</v>
      </c>
      <c r="B985" s="5">
        <v>45620</v>
      </c>
      <c r="C985" t="s">
        <v>2190</v>
      </c>
      <c r="E985" t="s">
        <v>2403</v>
      </c>
      <c r="F985">
        <v>4</v>
      </c>
      <c r="G985" s="7">
        <v>296.27999999999997</v>
      </c>
      <c r="H985" s="3" t="s">
        <v>2997</v>
      </c>
      <c r="I985" s="3" t="s">
        <v>3068</v>
      </c>
      <c r="J985" s="3" t="s">
        <v>3070</v>
      </c>
      <c r="K985" s="3" t="s">
        <v>4058</v>
      </c>
      <c r="L985" s="3">
        <v>5</v>
      </c>
      <c r="M985" s="10" t="s">
        <v>4275</v>
      </c>
      <c r="N985" s="3" t="s">
        <v>4280</v>
      </c>
      <c r="O985" s="7">
        <v>1185.1199999999999</v>
      </c>
      <c r="P985" s="3">
        <f t="shared" si="26"/>
        <v>1185.1199999999999</v>
      </c>
    </row>
    <row r="986" spans="1:16" x14ac:dyDescent="0.35">
      <c r="A986" t="s">
        <v>998</v>
      </c>
      <c r="B986" s="5">
        <v>45716</v>
      </c>
      <c r="C986" t="s">
        <v>2191</v>
      </c>
      <c r="E986" t="s">
        <v>2409</v>
      </c>
      <c r="F986">
        <v>1</v>
      </c>
      <c r="G986" s="7">
        <v>77.64</v>
      </c>
      <c r="H986" s="3" t="s">
        <v>2417</v>
      </c>
      <c r="I986" s="3" t="s">
        <v>3067</v>
      </c>
      <c r="J986" s="3" t="s">
        <v>3070</v>
      </c>
      <c r="K986" s="3" t="s">
        <v>4059</v>
      </c>
      <c r="L986" s="3">
        <v>1</v>
      </c>
      <c r="M986" s="10" t="s">
        <v>4276</v>
      </c>
      <c r="N986" s="3" t="s">
        <v>4281</v>
      </c>
      <c r="O986" s="7">
        <v>77.64</v>
      </c>
      <c r="P986" s="3">
        <f t="shared" si="26"/>
        <v>77.64</v>
      </c>
    </row>
    <row r="987" spans="1:16" x14ac:dyDescent="0.35">
      <c r="A987" t="s">
        <v>999</v>
      </c>
      <c r="B987" s="5">
        <v>45493</v>
      </c>
      <c r="C987" t="s">
        <v>2192</v>
      </c>
      <c r="E987" t="s">
        <v>2409</v>
      </c>
      <c r="F987">
        <v>1</v>
      </c>
      <c r="G987" s="7">
        <v>243.71</v>
      </c>
      <c r="H987" s="3" t="s">
        <v>2608</v>
      </c>
      <c r="I987" s="3" t="s">
        <v>3068</v>
      </c>
      <c r="J987" s="3" t="s">
        <v>3073</v>
      </c>
      <c r="K987" s="3" t="s">
        <v>4060</v>
      </c>
      <c r="L987" s="3">
        <v>6</v>
      </c>
      <c r="M987" s="10" t="s">
        <v>4275</v>
      </c>
      <c r="N987" s="3" t="s">
        <v>4282</v>
      </c>
      <c r="O987" s="7">
        <v>243.71</v>
      </c>
      <c r="P987" s="3">
        <f t="shared" si="26"/>
        <v>243.71</v>
      </c>
    </row>
    <row r="988" spans="1:16" x14ac:dyDescent="0.35">
      <c r="A988" t="s">
        <v>1000</v>
      </c>
      <c r="B988" s="5">
        <v>45542</v>
      </c>
      <c r="C988" t="s">
        <v>2193</v>
      </c>
      <c r="E988" t="s">
        <v>2408</v>
      </c>
      <c r="F988">
        <v>4</v>
      </c>
      <c r="G988" s="7">
        <v>644.96</v>
      </c>
      <c r="H988" s="3" t="s">
        <v>2501</v>
      </c>
      <c r="I988" s="3" t="s">
        <v>3067</v>
      </c>
      <c r="J988" s="3" t="s">
        <v>3074</v>
      </c>
      <c r="K988" s="3" t="s">
        <v>4061</v>
      </c>
      <c r="L988" s="3">
        <v>7</v>
      </c>
      <c r="M988" s="10" t="s">
        <v>4276</v>
      </c>
      <c r="N988" s="3" t="s">
        <v>4280</v>
      </c>
      <c r="O988" s="7">
        <v>2579.84</v>
      </c>
      <c r="P988" s="3">
        <f t="shared" si="26"/>
        <v>2579.84</v>
      </c>
    </row>
    <row r="989" spans="1:16" x14ac:dyDescent="0.35">
      <c r="A989" t="s">
        <v>1001</v>
      </c>
      <c r="B989" s="5">
        <v>45813</v>
      </c>
      <c r="C989" t="s">
        <v>2194</v>
      </c>
      <c r="E989" t="s">
        <v>2404</v>
      </c>
      <c r="F989">
        <v>5</v>
      </c>
      <c r="G989" s="7">
        <v>283.73</v>
      </c>
      <c r="H989" s="3" t="s">
        <v>2752</v>
      </c>
      <c r="I989" s="3" t="s">
        <v>3068</v>
      </c>
      <c r="J989" s="3" t="s">
        <v>3074</v>
      </c>
      <c r="K989" s="3" t="s">
        <v>4062</v>
      </c>
      <c r="L989" s="3">
        <v>8</v>
      </c>
      <c r="M989" s="10" t="s">
        <v>4276</v>
      </c>
      <c r="N989" s="3" t="s">
        <v>4278</v>
      </c>
      <c r="O989" s="7">
        <v>1418.65</v>
      </c>
      <c r="P989" s="3">
        <f t="shared" si="26"/>
        <v>1418.65</v>
      </c>
    </row>
    <row r="990" spans="1:16" x14ac:dyDescent="0.35">
      <c r="A990" t="s">
        <v>1002</v>
      </c>
      <c r="B990" s="5">
        <v>45692</v>
      </c>
      <c r="C990" t="s">
        <v>2195</v>
      </c>
      <c r="E990" t="s">
        <v>2409</v>
      </c>
      <c r="F990">
        <v>2</v>
      </c>
      <c r="G990" s="7">
        <v>629.55999999999995</v>
      </c>
      <c r="H990" s="3" t="s">
        <v>2687</v>
      </c>
      <c r="I990" s="3" t="s">
        <v>3068</v>
      </c>
      <c r="J990" s="3" t="s">
        <v>3071</v>
      </c>
      <c r="K990" s="3" t="s">
        <v>4063</v>
      </c>
      <c r="L990" s="3">
        <v>5</v>
      </c>
      <c r="M990" s="10" t="s">
        <v>4277</v>
      </c>
      <c r="N990" s="3" t="s">
        <v>4278</v>
      </c>
      <c r="O990" s="7">
        <v>1259.1199999999999</v>
      </c>
      <c r="P990" s="3">
        <f t="shared" si="26"/>
        <v>1259.1199999999999</v>
      </c>
    </row>
    <row r="991" spans="1:16" x14ac:dyDescent="0.35">
      <c r="A991" t="s">
        <v>1003</v>
      </c>
      <c r="B991" s="5">
        <v>45008</v>
      </c>
      <c r="C991" t="s">
        <v>2196</v>
      </c>
      <c r="E991" t="s">
        <v>2408</v>
      </c>
      <c r="F991">
        <v>4</v>
      </c>
      <c r="G991" s="7">
        <v>246.11</v>
      </c>
      <c r="H991" s="3" t="s">
        <v>2998</v>
      </c>
      <c r="I991" s="3" t="s">
        <v>3067</v>
      </c>
      <c r="J991" s="3" t="s">
        <v>3074</v>
      </c>
      <c r="K991" s="3" t="s">
        <v>4064</v>
      </c>
      <c r="L991" s="3">
        <v>4</v>
      </c>
      <c r="M991" s="10" t="s">
        <v>4275</v>
      </c>
      <c r="N991" s="3" t="s">
        <v>4278</v>
      </c>
      <c r="O991" s="7">
        <v>984.44</v>
      </c>
      <c r="P991" s="3">
        <f t="shared" si="26"/>
        <v>984.44</v>
      </c>
    </row>
    <row r="992" spans="1:16" x14ac:dyDescent="0.35">
      <c r="A992" t="s">
        <v>1004</v>
      </c>
      <c r="B992" s="5">
        <v>45249</v>
      </c>
      <c r="C992" t="s">
        <v>2197</v>
      </c>
      <c r="E992" t="s">
        <v>2404</v>
      </c>
      <c r="F992">
        <v>2</v>
      </c>
      <c r="G992" s="7">
        <v>418.26</v>
      </c>
      <c r="H992" s="3" t="s">
        <v>2999</v>
      </c>
      <c r="I992" s="3" t="s">
        <v>3065</v>
      </c>
      <c r="J992" s="3" t="s">
        <v>3074</v>
      </c>
      <c r="K992" s="3" t="s">
        <v>4065</v>
      </c>
      <c r="L992" s="3">
        <v>2</v>
      </c>
      <c r="M992" s="10" t="s">
        <v>4275</v>
      </c>
      <c r="N992" s="3" t="s">
        <v>4282</v>
      </c>
      <c r="O992" s="7">
        <v>836.52</v>
      </c>
      <c r="P992" s="3">
        <f t="shared" si="26"/>
        <v>836.52</v>
      </c>
    </row>
    <row r="993" spans="1:16" x14ac:dyDescent="0.35">
      <c r="A993" t="s">
        <v>1005</v>
      </c>
      <c r="B993" s="5">
        <v>45421</v>
      </c>
      <c r="C993" t="s">
        <v>2198</v>
      </c>
      <c r="E993" t="s">
        <v>2409</v>
      </c>
      <c r="F993">
        <v>5</v>
      </c>
      <c r="G993" s="7">
        <v>127.18</v>
      </c>
      <c r="H993" s="3" t="s">
        <v>2538</v>
      </c>
      <c r="I993" s="3" t="s">
        <v>3065</v>
      </c>
      <c r="J993" s="3" t="s">
        <v>3071</v>
      </c>
      <c r="K993" s="3" t="s">
        <v>4066</v>
      </c>
      <c r="L993" s="3">
        <v>10</v>
      </c>
      <c r="M993" s="10" t="s">
        <v>4276</v>
      </c>
      <c r="N993" s="3" t="s">
        <v>4282</v>
      </c>
      <c r="O993" s="7">
        <v>635.90000000000009</v>
      </c>
      <c r="P993" s="3">
        <f t="shared" si="26"/>
        <v>635.90000000000009</v>
      </c>
    </row>
    <row r="994" spans="1:16" x14ac:dyDescent="0.35">
      <c r="A994" t="s">
        <v>1006</v>
      </c>
      <c r="B994" s="5">
        <v>45531</v>
      </c>
      <c r="C994" t="s">
        <v>2199</v>
      </c>
      <c r="E994" t="s">
        <v>2407</v>
      </c>
      <c r="F994">
        <v>3</v>
      </c>
      <c r="G994" s="7">
        <v>586.21</v>
      </c>
      <c r="H994" s="3" t="s">
        <v>2543</v>
      </c>
      <c r="I994" s="3" t="s">
        <v>3068</v>
      </c>
      <c r="J994" s="3" t="s">
        <v>3074</v>
      </c>
      <c r="K994" s="3" t="s">
        <v>4067</v>
      </c>
      <c r="L994" s="3">
        <v>4</v>
      </c>
      <c r="M994" s="10" t="s">
        <v>4277</v>
      </c>
      <c r="N994" s="3" t="s">
        <v>4279</v>
      </c>
      <c r="O994" s="7">
        <v>1758.63</v>
      </c>
      <c r="P994" s="3">
        <f t="shared" si="26"/>
        <v>1758.63</v>
      </c>
    </row>
    <row r="995" spans="1:16" x14ac:dyDescent="0.35">
      <c r="A995" t="s">
        <v>1007</v>
      </c>
      <c r="B995" s="5">
        <v>45388</v>
      </c>
      <c r="C995" t="s">
        <v>2200</v>
      </c>
      <c r="E995" t="s">
        <v>2403</v>
      </c>
      <c r="F995">
        <v>3</v>
      </c>
      <c r="G995" s="7">
        <v>267.45</v>
      </c>
      <c r="H995" s="3" t="s">
        <v>3000</v>
      </c>
      <c r="I995" s="3" t="s">
        <v>3068</v>
      </c>
      <c r="J995" s="3" t="s">
        <v>3073</v>
      </c>
      <c r="K995" s="3" t="s">
        <v>4068</v>
      </c>
      <c r="L995" s="3">
        <v>5</v>
      </c>
      <c r="M995" s="10" t="s">
        <v>4277</v>
      </c>
      <c r="N995" s="3" t="s">
        <v>4278</v>
      </c>
      <c r="O995" s="7">
        <v>802.34999999999991</v>
      </c>
      <c r="P995" s="3">
        <f t="shared" si="26"/>
        <v>802.34999999999991</v>
      </c>
    </row>
    <row r="996" spans="1:16" x14ac:dyDescent="0.35">
      <c r="A996" t="s">
        <v>1008</v>
      </c>
      <c r="B996" s="5">
        <v>45470</v>
      </c>
      <c r="C996" t="s">
        <v>2201</v>
      </c>
      <c r="E996" t="s">
        <v>2405</v>
      </c>
      <c r="F996">
        <v>4</v>
      </c>
      <c r="G996" s="7">
        <v>615.65</v>
      </c>
      <c r="H996" s="3" t="s">
        <v>2486</v>
      </c>
      <c r="I996" s="3" t="s">
        <v>3065</v>
      </c>
      <c r="J996" s="3" t="s">
        <v>3073</v>
      </c>
      <c r="K996" s="3" t="s">
        <v>4069</v>
      </c>
      <c r="L996" s="3">
        <v>9</v>
      </c>
      <c r="M996" s="10" t="s">
        <v>4277</v>
      </c>
      <c r="N996" s="3" t="s">
        <v>4282</v>
      </c>
      <c r="O996" s="7">
        <v>2462.6</v>
      </c>
      <c r="P996" s="3">
        <f t="shared" si="26"/>
        <v>2462.6</v>
      </c>
    </row>
    <row r="997" spans="1:16" x14ac:dyDescent="0.35">
      <c r="A997" t="s">
        <v>1009</v>
      </c>
      <c r="B997" s="5">
        <v>45248</v>
      </c>
      <c r="C997" t="s">
        <v>2202</v>
      </c>
      <c r="E997" t="s">
        <v>2403</v>
      </c>
      <c r="F997">
        <v>2</v>
      </c>
      <c r="G997" s="7">
        <v>113.29</v>
      </c>
      <c r="H997" s="3" t="s">
        <v>2801</v>
      </c>
      <c r="I997" s="3" t="s">
        <v>3069</v>
      </c>
      <c r="J997" s="3" t="s">
        <v>3074</v>
      </c>
      <c r="K997" s="3" t="s">
        <v>4070</v>
      </c>
      <c r="L997" s="3">
        <v>5</v>
      </c>
      <c r="M997" s="10" t="s">
        <v>4275</v>
      </c>
      <c r="N997" s="3" t="s">
        <v>4281</v>
      </c>
      <c r="O997" s="7">
        <v>226.58</v>
      </c>
      <c r="P997" s="3">
        <f t="shared" si="26"/>
        <v>226.58</v>
      </c>
    </row>
    <row r="998" spans="1:16" x14ac:dyDescent="0.35">
      <c r="A998" t="s">
        <v>1010</v>
      </c>
      <c r="B998" s="5">
        <v>45410</v>
      </c>
      <c r="C998" t="s">
        <v>2203</v>
      </c>
      <c r="E998" t="s">
        <v>2403</v>
      </c>
      <c r="F998">
        <v>4</v>
      </c>
      <c r="G998" s="7">
        <v>473.86</v>
      </c>
      <c r="H998" s="3" t="s">
        <v>2677</v>
      </c>
      <c r="I998" s="3" t="s">
        <v>3065</v>
      </c>
      <c r="J998" s="3" t="s">
        <v>3073</v>
      </c>
      <c r="K998" s="3" t="s">
        <v>4071</v>
      </c>
      <c r="L998" s="3">
        <v>7</v>
      </c>
      <c r="M998" s="10" t="s">
        <v>4275</v>
      </c>
      <c r="N998" s="3" t="s">
        <v>4281</v>
      </c>
      <c r="O998" s="7">
        <v>1895.44</v>
      </c>
      <c r="P998" s="3">
        <f t="shared" si="26"/>
        <v>1895.44</v>
      </c>
    </row>
    <row r="999" spans="1:16" x14ac:dyDescent="0.35">
      <c r="A999" t="s">
        <v>1011</v>
      </c>
      <c r="B999" s="5">
        <v>45257</v>
      </c>
      <c r="C999" t="s">
        <v>2204</v>
      </c>
      <c r="E999" t="s">
        <v>2408</v>
      </c>
      <c r="F999">
        <v>3</v>
      </c>
      <c r="G999" s="7">
        <v>444.75</v>
      </c>
      <c r="H999" s="3" t="s">
        <v>2795</v>
      </c>
      <c r="I999" s="3" t="s">
        <v>3069</v>
      </c>
      <c r="J999" s="3" t="s">
        <v>3073</v>
      </c>
      <c r="K999" s="3" t="s">
        <v>4072</v>
      </c>
      <c r="L999" s="3">
        <v>6</v>
      </c>
      <c r="M999" s="10" t="s">
        <v>4275</v>
      </c>
      <c r="N999" s="3" t="s">
        <v>4281</v>
      </c>
      <c r="O999" s="7">
        <v>1334.25</v>
      </c>
      <c r="P999" s="3">
        <f t="shared" si="26"/>
        <v>1334.25</v>
      </c>
    </row>
    <row r="1000" spans="1:16" x14ac:dyDescent="0.35">
      <c r="A1000" t="s">
        <v>1012</v>
      </c>
      <c r="B1000" s="5">
        <v>45065</v>
      </c>
      <c r="C1000" t="s">
        <v>2205</v>
      </c>
      <c r="E1000" t="s">
        <v>2404</v>
      </c>
      <c r="F1000">
        <v>2</v>
      </c>
      <c r="G1000" s="7">
        <v>183.67</v>
      </c>
      <c r="H1000" s="3" t="s">
        <v>2614</v>
      </c>
      <c r="I1000" s="3" t="s">
        <v>3065</v>
      </c>
      <c r="J1000" s="3" t="s">
        <v>3071</v>
      </c>
      <c r="K1000" s="3" t="s">
        <v>4073</v>
      </c>
      <c r="L1000" s="3">
        <v>6</v>
      </c>
      <c r="M1000" s="10" t="s">
        <v>4275</v>
      </c>
      <c r="N1000" s="3" t="s">
        <v>4282</v>
      </c>
      <c r="O1000" s="7">
        <v>367.34</v>
      </c>
      <c r="P1000" s="3">
        <f t="shared" si="26"/>
        <v>367.34</v>
      </c>
    </row>
    <row r="1001" spans="1:16" x14ac:dyDescent="0.35">
      <c r="A1001" t="s">
        <v>1013</v>
      </c>
      <c r="B1001" s="5">
        <v>45284</v>
      </c>
      <c r="C1001" t="s">
        <v>2206</v>
      </c>
      <c r="E1001" t="s">
        <v>2407</v>
      </c>
      <c r="F1001">
        <v>1</v>
      </c>
      <c r="G1001" s="7">
        <v>483.38</v>
      </c>
      <c r="H1001" s="3" t="s">
        <v>2741</v>
      </c>
      <c r="I1001" s="3" t="s">
        <v>3069</v>
      </c>
      <c r="J1001" s="3" t="s">
        <v>3074</v>
      </c>
      <c r="K1001" s="3" t="s">
        <v>4074</v>
      </c>
      <c r="L1001" s="3">
        <v>6</v>
      </c>
      <c r="M1001" s="10" t="s">
        <v>4276</v>
      </c>
      <c r="N1001" s="3" t="s">
        <v>4282</v>
      </c>
      <c r="O1001" s="7">
        <v>483.38</v>
      </c>
      <c r="P1001" s="3">
        <f t="shared" si="26"/>
        <v>483.38</v>
      </c>
    </row>
    <row r="1002" spans="1:16" x14ac:dyDescent="0.35">
      <c r="A1002" t="s">
        <v>1014</v>
      </c>
      <c r="B1002" s="5">
        <v>45098</v>
      </c>
      <c r="C1002" t="s">
        <v>2207</v>
      </c>
      <c r="E1002" t="s">
        <v>2407</v>
      </c>
      <c r="F1002">
        <v>5</v>
      </c>
      <c r="G1002" s="7">
        <v>260.93</v>
      </c>
      <c r="H1002" s="3" t="s">
        <v>3001</v>
      </c>
      <c r="I1002" s="3" t="s">
        <v>3066</v>
      </c>
      <c r="J1002" s="3" t="s">
        <v>3073</v>
      </c>
      <c r="K1002" s="3" t="s">
        <v>4075</v>
      </c>
      <c r="L1002" s="3">
        <v>9</v>
      </c>
      <c r="M1002" s="10" t="s">
        <v>4275</v>
      </c>
      <c r="N1002" s="3" t="s">
        <v>4280</v>
      </c>
      <c r="O1002" s="7">
        <v>1304.6500000000001</v>
      </c>
      <c r="P1002" s="3">
        <f t="shared" si="26"/>
        <v>1304.6500000000001</v>
      </c>
    </row>
    <row r="1003" spans="1:16" x14ac:dyDescent="0.35">
      <c r="A1003" t="s">
        <v>1015</v>
      </c>
      <c r="B1003" s="5">
        <v>45268</v>
      </c>
      <c r="C1003" t="s">
        <v>2208</v>
      </c>
      <c r="E1003" t="s">
        <v>2407</v>
      </c>
      <c r="F1003">
        <v>2</v>
      </c>
      <c r="G1003" s="7">
        <v>253.68</v>
      </c>
      <c r="H1003" s="3" t="s">
        <v>2518</v>
      </c>
      <c r="I1003" s="3" t="s">
        <v>3068</v>
      </c>
      <c r="J1003" s="3" t="s">
        <v>3070</v>
      </c>
      <c r="K1003" s="3" t="s">
        <v>4076</v>
      </c>
      <c r="L1003" s="3">
        <v>6</v>
      </c>
      <c r="N1003" s="3" t="s">
        <v>4279</v>
      </c>
      <c r="O1003" s="7">
        <v>507.36</v>
      </c>
      <c r="P1003" s="3">
        <f t="shared" si="26"/>
        <v>507.36</v>
      </c>
    </row>
    <row r="1004" spans="1:16" x14ac:dyDescent="0.35">
      <c r="A1004" t="s">
        <v>1016</v>
      </c>
      <c r="B1004" s="5">
        <v>45827</v>
      </c>
      <c r="C1004" t="s">
        <v>2209</v>
      </c>
      <c r="E1004" t="s">
        <v>2405</v>
      </c>
      <c r="F1004">
        <v>4</v>
      </c>
      <c r="G1004" s="7">
        <v>699.88</v>
      </c>
      <c r="H1004" s="3" t="s">
        <v>2505</v>
      </c>
      <c r="I1004" s="3" t="s">
        <v>3069</v>
      </c>
      <c r="J1004" s="3" t="s">
        <v>3074</v>
      </c>
      <c r="K1004" s="3" t="s">
        <v>4077</v>
      </c>
      <c r="L1004" s="3">
        <v>5</v>
      </c>
      <c r="M1004" s="10" t="s">
        <v>4277</v>
      </c>
      <c r="N1004" s="3" t="s">
        <v>4279</v>
      </c>
      <c r="O1004" s="7">
        <v>2799.52</v>
      </c>
      <c r="P1004" s="3">
        <f t="shared" si="26"/>
        <v>2799.52</v>
      </c>
    </row>
    <row r="1005" spans="1:16" x14ac:dyDescent="0.35">
      <c r="A1005" t="s">
        <v>1017</v>
      </c>
      <c r="B1005" s="5">
        <v>44937</v>
      </c>
      <c r="C1005" t="s">
        <v>2210</v>
      </c>
      <c r="E1005" t="s">
        <v>2407</v>
      </c>
      <c r="F1005">
        <v>5</v>
      </c>
      <c r="G1005" s="7">
        <v>319.97000000000003</v>
      </c>
      <c r="H1005" s="3" t="s">
        <v>3001</v>
      </c>
      <c r="I1005" s="3" t="s">
        <v>3069</v>
      </c>
      <c r="J1005" s="3" t="s">
        <v>3070</v>
      </c>
      <c r="K1005" s="3" t="s">
        <v>4078</v>
      </c>
      <c r="L1005" s="3">
        <v>7</v>
      </c>
      <c r="M1005" s="10" t="s">
        <v>4275</v>
      </c>
      <c r="N1005" s="3" t="s">
        <v>4282</v>
      </c>
      <c r="O1005" s="7">
        <v>1599.85</v>
      </c>
      <c r="P1005" s="3">
        <f t="shared" si="26"/>
        <v>1599.8500000000001</v>
      </c>
    </row>
    <row r="1006" spans="1:16" x14ac:dyDescent="0.35">
      <c r="A1006" t="s">
        <v>1018</v>
      </c>
      <c r="B1006" s="5">
        <v>45817</v>
      </c>
      <c r="C1006" t="s">
        <v>2211</v>
      </c>
      <c r="E1006" t="s">
        <v>2406</v>
      </c>
      <c r="F1006">
        <v>4</v>
      </c>
      <c r="G1006" s="7">
        <v>246.91</v>
      </c>
      <c r="H1006" s="3" t="s">
        <v>2436</v>
      </c>
      <c r="I1006" s="3" t="s">
        <v>3066</v>
      </c>
      <c r="J1006" s="3" t="s">
        <v>3074</v>
      </c>
      <c r="K1006" s="3" t="s">
        <v>4079</v>
      </c>
      <c r="L1006" s="3">
        <v>8</v>
      </c>
      <c r="M1006" s="10" t="s">
        <v>4275</v>
      </c>
      <c r="N1006" s="3" t="s">
        <v>4279</v>
      </c>
      <c r="O1006" s="7">
        <v>987.64</v>
      </c>
      <c r="P1006" s="3">
        <f t="shared" si="26"/>
        <v>987.64</v>
      </c>
    </row>
    <row r="1007" spans="1:16" x14ac:dyDescent="0.35">
      <c r="A1007" t="s">
        <v>1019</v>
      </c>
      <c r="B1007" s="5">
        <v>44987</v>
      </c>
      <c r="C1007" t="s">
        <v>2212</v>
      </c>
      <c r="E1007" t="s">
        <v>2407</v>
      </c>
      <c r="F1007">
        <v>3</v>
      </c>
      <c r="G1007" s="7">
        <v>392.85</v>
      </c>
      <c r="H1007" s="3" t="s">
        <v>2929</v>
      </c>
      <c r="I1007" s="3" t="s">
        <v>3067</v>
      </c>
      <c r="J1007" s="3" t="s">
        <v>3072</v>
      </c>
      <c r="K1007" s="3" t="s">
        <v>4080</v>
      </c>
      <c r="L1007" s="3">
        <v>6</v>
      </c>
      <c r="N1007" s="3" t="s">
        <v>4282</v>
      </c>
      <c r="O1007" s="7">
        <v>1178.55</v>
      </c>
      <c r="P1007" s="3">
        <f t="shared" si="26"/>
        <v>1178.5500000000002</v>
      </c>
    </row>
    <row r="1008" spans="1:16" x14ac:dyDescent="0.35">
      <c r="A1008" t="s">
        <v>1020</v>
      </c>
      <c r="B1008" s="5">
        <v>45439</v>
      </c>
      <c r="C1008" t="s">
        <v>2213</v>
      </c>
      <c r="E1008" t="s">
        <v>2405</v>
      </c>
      <c r="F1008">
        <v>5</v>
      </c>
      <c r="G1008" s="7">
        <v>420.98</v>
      </c>
      <c r="H1008" s="3" t="s">
        <v>2868</v>
      </c>
      <c r="I1008" s="3" t="s">
        <v>3069</v>
      </c>
      <c r="J1008" s="3" t="s">
        <v>3073</v>
      </c>
      <c r="K1008" s="3" t="s">
        <v>4081</v>
      </c>
      <c r="L1008" s="3">
        <v>7</v>
      </c>
      <c r="M1008" s="10" t="s">
        <v>4275</v>
      </c>
      <c r="N1008" s="3" t="s">
        <v>4281</v>
      </c>
      <c r="O1008" s="7">
        <v>2104.9</v>
      </c>
      <c r="P1008" s="3">
        <f t="shared" si="26"/>
        <v>2104.9</v>
      </c>
    </row>
    <row r="1009" spans="1:16" x14ac:dyDescent="0.35">
      <c r="A1009" t="s">
        <v>1021</v>
      </c>
      <c r="B1009" s="5">
        <v>45371</v>
      </c>
      <c r="C1009" t="s">
        <v>1699</v>
      </c>
      <c r="E1009" t="s">
        <v>2403</v>
      </c>
      <c r="F1009">
        <v>2</v>
      </c>
      <c r="G1009" s="7">
        <v>73.260000000000005</v>
      </c>
      <c r="H1009" s="3" t="s">
        <v>2499</v>
      </c>
      <c r="I1009" s="3" t="s">
        <v>3069</v>
      </c>
      <c r="J1009" s="3" t="s">
        <v>3074</v>
      </c>
      <c r="K1009" s="3" t="s">
        <v>4082</v>
      </c>
      <c r="L1009" s="3">
        <v>4</v>
      </c>
      <c r="M1009" s="10" t="s">
        <v>4277</v>
      </c>
      <c r="N1009" s="3" t="s">
        <v>4281</v>
      </c>
      <c r="O1009" s="7">
        <v>146.52000000000001</v>
      </c>
      <c r="P1009" s="3">
        <f t="shared" si="26"/>
        <v>146.52000000000001</v>
      </c>
    </row>
    <row r="1010" spans="1:16" x14ac:dyDescent="0.35">
      <c r="A1010" t="s">
        <v>1022</v>
      </c>
      <c r="B1010" s="5">
        <v>44939</v>
      </c>
      <c r="C1010" t="s">
        <v>2214</v>
      </c>
      <c r="E1010" t="s">
        <v>2403</v>
      </c>
      <c r="F1010">
        <v>3</v>
      </c>
      <c r="G1010" s="7">
        <v>410.88</v>
      </c>
      <c r="H1010" s="3" t="s">
        <v>2916</v>
      </c>
      <c r="I1010" s="3" t="s">
        <v>3069</v>
      </c>
      <c r="J1010" s="3" t="s">
        <v>3073</v>
      </c>
      <c r="K1010" s="3" t="s">
        <v>4083</v>
      </c>
      <c r="L1010" s="3">
        <v>8</v>
      </c>
      <c r="M1010" s="10" t="s">
        <v>4276</v>
      </c>
      <c r="N1010" s="3" t="s">
        <v>4278</v>
      </c>
      <c r="O1010" s="7">
        <v>1232.6400000000001</v>
      </c>
      <c r="P1010" s="3">
        <f t="shared" si="26"/>
        <v>1232.6399999999999</v>
      </c>
    </row>
    <row r="1011" spans="1:16" x14ac:dyDescent="0.35">
      <c r="A1011" t="s">
        <v>1023</v>
      </c>
      <c r="B1011" s="5">
        <v>45171</v>
      </c>
      <c r="C1011" t="s">
        <v>2215</v>
      </c>
      <c r="E1011" t="s">
        <v>2405</v>
      </c>
      <c r="F1011">
        <v>2</v>
      </c>
      <c r="G1011" s="7">
        <v>176.46</v>
      </c>
      <c r="H1011" s="3" t="s">
        <v>2796</v>
      </c>
      <c r="I1011" s="3" t="s">
        <v>3067</v>
      </c>
      <c r="J1011" s="3" t="s">
        <v>3073</v>
      </c>
      <c r="K1011" s="3" t="s">
        <v>4084</v>
      </c>
      <c r="L1011" s="3">
        <v>2</v>
      </c>
      <c r="M1011" s="10" t="s">
        <v>4276</v>
      </c>
      <c r="N1011" s="3" t="s">
        <v>4280</v>
      </c>
      <c r="O1011" s="7">
        <v>352.92</v>
      </c>
      <c r="P1011" s="3">
        <f t="shared" si="26"/>
        <v>352.92</v>
      </c>
    </row>
    <row r="1012" spans="1:16" x14ac:dyDescent="0.35">
      <c r="A1012" t="s">
        <v>1024</v>
      </c>
      <c r="B1012" s="5">
        <v>45016</v>
      </c>
      <c r="C1012" t="s">
        <v>2216</v>
      </c>
      <c r="E1012" t="s">
        <v>2403</v>
      </c>
      <c r="F1012">
        <v>3</v>
      </c>
      <c r="G1012" s="7">
        <v>659.57</v>
      </c>
      <c r="H1012" s="3" t="s">
        <v>2501</v>
      </c>
      <c r="I1012" s="3" t="s">
        <v>3067</v>
      </c>
      <c r="J1012" s="3" t="s">
        <v>3071</v>
      </c>
      <c r="K1012" s="3" t="s">
        <v>4085</v>
      </c>
      <c r="L1012" s="3">
        <v>6</v>
      </c>
      <c r="M1012" s="10" t="s">
        <v>4275</v>
      </c>
      <c r="N1012" s="3" t="s">
        <v>4280</v>
      </c>
      <c r="O1012" s="7">
        <v>1978.71</v>
      </c>
      <c r="P1012" s="3">
        <f t="shared" si="26"/>
        <v>1978.71</v>
      </c>
    </row>
    <row r="1013" spans="1:16" x14ac:dyDescent="0.35">
      <c r="A1013" t="s">
        <v>1025</v>
      </c>
      <c r="B1013" s="5">
        <v>45629</v>
      </c>
      <c r="C1013" t="s">
        <v>2217</v>
      </c>
      <c r="E1013" t="s">
        <v>2404</v>
      </c>
      <c r="F1013">
        <v>2</v>
      </c>
      <c r="G1013" s="7">
        <v>478.36</v>
      </c>
      <c r="H1013" s="3" t="s">
        <v>2646</v>
      </c>
      <c r="I1013" s="3" t="s">
        <v>3066</v>
      </c>
      <c r="J1013" s="3" t="s">
        <v>3070</v>
      </c>
      <c r="K1013" s="3" t="s">
        <v>4086</v>
      </c>
      <c r="L1013" s="3">
        <v>3</v>
      </c>
      <c r="N1013" s="3" t="s">
        <v>4282</v>
      </c>
      <c r="O1013" s="7">
        <v>956.72</v>
      </c>
      <c r="P1013" s="3">
        <f t="shared" si="26"/>
        <v>956.72</v>
      </c>
    </row>
    <row r="1014" spans="1:16" x14ac:dyDescent="0.35">
      <c r="A1014" t="s">
        <v>1026</v>
      </c>
      <c r="B1014" s="5">
        <v>45629</v>
      </c>
      <c r="C1014" t="s">
        <v>2218</v>
      </c>
      <c r="E1014" t="s">
        <v>2407</v>
      </c>
      <c r="F1014">
        <v>4</v>
      </c>
      <c r="G1014" s="7">
        <v>30.05</v>
      </c>
      <c r="H1014" s="3" t="s">
        <v>2676</v>
      </c>
      <c r="I1014" s="3" t="s">
        <v>3066</v>
      </c>
      <c r="J1014" s="3" t="s">
        <v>3072</v>
      </c>
      <c r="K1014" s="3" t="s">
        <v>4087</v>
      </c>
      <c r="L1014" s="3">
        <v>6</v>
      </c>
      <c r="N1014" s="3" t="s">
        <v>4281</v>
      </c>
      <c r="O1014" s="7">
        <v>120.2</v>
      </c>
      <c r="P1014" s="3">
        <f t="shared" si="26"/>
        <v>120.2</v>
      </c>
    </row>
    <row r="1015" spans="1:16" x14ac:dyDescent="0.35">
      <c r="A1015" t="s">
        <v>1027</v>
      </c>
      <c r="B1015" s="5">
        <v>45773</v>
      </c>
      <c r="C1015" t="s">
        <v>2219</v>
      </c>
      <c r="E1015" t="s">
        <v>2408</v>
      </c>
      <c r="F1015">
        <v>4</v>
      </c>
      <c r="G1015" s="7">
        <v>300.56</v>
      </c>
      <c r="H1015" s="3" t="s">
        <v>2463</v>
      </c>
      <c r="I1015" s="3" t="s">
        <v>3069</v>
      </c>
      <c r="J1015" s="3" t="s">
        <v>3071</v>
      </c>
      <c r="K1015" s="3" t="s">
        <v>4088</v>
      </c>
      <c r="L1015" s="3">
        <v>9</v>
      </c>
      <c r="M1015" s="10" t="s">
        <v>4276</v>
      </c>
      <c r="N1015" s="3" t="s">
        <v>4281</v>
      </c>
      <c r="O1015" s="7">
        <v>1202.24</v>
      </c>
      <c r="P1015" s="3">
        <f t="shared" si="26"/>
        <v>1202.24</v>
      </c>
    </row>
    <row r="1016" spans="1:16" x14ac:dyDescent="0.35">
      <c r="A1016" t="s">
        <v>1028</v>
      </c>
      <c r="B1016" s="5">
        <v>45326</v>
      </c>
      <c r="C1016" t="s">
        <v>2220</v>
      </c>
      <c r="E1016" t="s">
        <v>2405</v>
      </c>
      <c r="F1016">
        <v>5</v>
      </c>
      <c r="G1016" s="7">
        <v>226.45</v>
      </c>
      <c r="H1016" s="3" t="s">
        <v>2762</v>
      </c>
      <c r="I1016" s="3" t="s">
        <v>3065</v>
      </c>
      <c r="J1016" s="3" t="s">
        <v>3072</v>
      </c>
      <c r="K1016" s="3" t="s">
        <v>4089</v>
      </c>
      <c r="L1016" s="3">
        <v>6</v>
      </c>
      <c r="M1016" s="10" t="s">
        <v>4276</v>
      </c>
      <c r="N1016" s="3" t="s">
        <v>4280</v>
      </c>
      <c r="O1016" s="7">
        <v>1132.25</v>
      </c>
      <c r="P1016" s="3">
        <f t="shared" si="26"/>
        <v>1132.25</v>
      </c>
    </row>
    <row r="1017" spans="1:16" x14ac:dyDescent="0.35">
      <c r="A1017" t="s">
        <v>1029</v>
      </c>
      <c r="B1017" s="5">
        <v>45317</v>
      </c>
      <c r="C1017" t="s">
        <v>2221</v>
      </c>
      <c r="E1017" t="s">
        <v>2407</v>
      </c>
      <c r="F1017">
        <v>2</v>
      </c>
      <c r="G1017" s="7">
        <v>349.4</v>
      </c>
      <c r="H1017" s="3" t="s">
        <v>2838</v>
      </c>
      <c r="I1017" s="3" t="s">
        <v>3066</v>
      </c>
      <c r="J1017" s="3" t="s">
        <v>3070</v>
      </c>
      <c r="K1017" s="3" t="s">
        <v>4090</v>
      </c>
      <c r="L1017" s="3">
        <v>2</v>
      </c>
      <c r="M1017" s="10" t="s">
        <v>4275</v>
      </c>
      <c r="N1017" s="3" t="s">
        <v>4278</v>
      </c>
      <c r="O1017" s="7">
        <v>698.8</v>
      </c>
      <c r="P1017" s="3">
        <f t="shared" si="26"/>
        <v>698.8</v>
      </c>
    </row>
    <row r="1018" spans="1:16" x14ac:dyDescent="0.35">
      <c r="A1018" t="s">
        <v>1030</v>
      </c>
      <c r="B1018" s="5">
        <v>45289</v>
      </c>
      <c r="C1018" t="s">
        <v>2222</v>
      </c>
      <c r="E1018" t="s">
        <v>2405</v>
      </c>
      <c r="F1018">
        <v>5</v>
      </c>
      <c r="G1018" s="7">
        <v>268.77999999999997</v>
      </c>
      <c r="H1018" s="3" t="s">
        <v>3002</v>
      </c>
      <c r="I1018" s="3" t="s">
        <v>3065</v>
      </c>
      <c r="J1018" s="3" t="s">
        <v>3073</v>
      </c>
      <c r="K1018" s="3" t="s">
        <v>4091</v>
      </c>
      <c r="L1018" s="3">
        <v>7</v>
      </c>
      <c r="M1018" s="10" t="s">
        <v>4277</v>
      </c>
      <c r="N1018" s="3" t="s">
        <v>4280</v>
      </c>
      <c r="O1018" s="7">
        <v>1343.9</v>
      </c>
      <c r="P1018" s="3">
        <f t="shared" si="26"/>
        <v>1343.8999999999999</v>
      </c>
    </row>
    <row r="1019" spans="1:16" x14ac:dyDescent="0.35">
      <c r="A1019" t="s">
        <v>1031</v>
      </c>
      <c r="B1019" s="5">
        <v>45529</v>
      </c>
      <c r="C1019" t="s">
        <v>2223</v>
      </c>
      <c r="E1019" t="s">
        <v>2406</v>
      </c>
      <c r="F1019">
        <v>2</v>
      </c>
      <c r="G1019" s="7">
        <v>680.85</v>
      </c>
      <c r="H1019" s="3" t="s">
        <v>3003</v>
      </c>
      <c r="I1019" s="3" t="s">
        <v>3068</v>
      </c>
      <c r="J1019" s="3" t="s">
        <v>3073</v>
      </c>
      <c r="K1019" s="3" t="s">
        <v>4092</v>
      </c>
      <c r="L1019" s="3">
        <v>6</v>
      </c>
      <c r="M1019" s="10" t="s">
        <v>4276</v>
      </c>
      <c r="N1019" s="3" t="s">
        <v>4279</v>
      </c>
      <c r="O1019" s="7">
        <v>1361.7</v>
      </c>
      <c r="P1019" s="3">
        <f t="shared" si="26"/>
        <v>1361.7</v>
      </c>
    </row>
    <row r="1020" spans="1:16" x14ac:dyDescent="0.35">
      <c r="A1020" t="s">
        <v>1032</v>
      </c>
      <c r="B1020" s="5">
        <v>45115</v>
      </c>
      <c r="C1020" t="s">
        <v>2224</v>
      </c>
      <c r="E1020" t="s">
        <v>2408</v>
      </c>
      <c r="F1020">
        <v>3</v>
      </c>
      <c r="G1020" s="7">
        <v>182.48</v>
      </c>
      <c r="H1020" s="3" t="s">
        <v>3004</v>
      </c>
      <c r="I1020" s="3" t="s">
        <v>3069</v>
      </c>
      <c r="J1020" s="3" t="s">
        <v>3073</v>
      </c>
      <c r="K1020" s="3" t="s">
        <v>4093</v>
      </c>
      <c r="L1020" s="3">
        <v>3</v>
      </c>
      <c r="N1020" s="3" t="s">
        <v>4278</v>
      </c>
      <c r="O1020" s="7">
        <v>547.43999999999994</v>
      </c>
      <c r="P1020" s="3">
        <f t="shared" si="26"/>
        <v>547.43999999999994</v>
      </c>
    </row>
    <row r="1021" spans="1:16" x14ac:dyDescent="0.35">
      <c r="A1021" t="s">
        <v>1033</v>
      </c>
      <c r="B1021" s="5">
        <v>45388</v>
      </c>
      <c r="C1021" t="s">
        <v>2225</v>
      </c>
      <c r="E1021" t="s">
        <v>2409</v>
      </c>
      <c r="F1021">
        <v>1</v>
      </c>
      <c r="G1021" s="7">
        <v>277.08999999999997</v>
      </c>
      <c r="H1021" s="3" t="s">
        <v>2694</v>
      </c>
      <c r="I1021" s="3" t="s">
        <v>3069</v>
      </c>
      <c r="J1021" s="3" t="s">
        <v>3072</v>
      </c>
      <c r="K1021" s="3" t="s">
        <v>4094</v>
      </c>
      <c r="L1021" s="3">
        <v>2</v>
      </c>
      <c r="M1021" s="10" t="s">
        <v>4275</v>
      </c>
      <c r="N1021" s="3" t="s">
        <v>4279</v>
      </c>
      <c r="O1021" s="7">
        <v>277.08999999999997</v>
      </c>
      <c r="P1021" s="3">
        <f t="shared" si="26"/>
        <v>277.08999999999997</v>
      </c>
    </row>
    <row r="1022" spans="1:16" x14ac:dyDescent="0.35">
      <c r="A1022" t="s">
        <v>1034</v>
      </c>
      <c r="B1022" s="5">
        <v>45404</v>
      </c>
      <c r="C1022" t="s">
        <v>2226</v>
      </c>
      <c r="E1022" t="s">
        <v>2405</v>
      </c>
      <c r="F1022">
        <v>2</v>
      </c>
      <c r="G1022" s="7">
        <v>26.5</v>
      </c>
      <c r="H1022" s="3" t="s">
        <v>2714</v>
      </c>
      <c r="I1022" s="3" t="s">
        <v>3066</v>
      </c>
      <c r="J1022" s="3" t="s">
        <v>3073</v>
      </c>
      <c r="K1022" s="3" t="s">
        <v>4095</v>
      </c>
      <c r="L1022" s="3">
        <v>3</v>
      </c>
      <c r="M1022" s="10" t="s">
        <v>4275</v>
      </c>
      <c r="N1022" s="3" t="s">
        <v>4278</v>
      </c>
      <c r="O1022" s="7">
        <v>53</v>
      </c>
      <c r="P1022" s="3">
        <f t="shared" si="26"/>
        <v>53</v>
      </c>
    </row>
    <row r="1023" spans="1:16" x14ac:dyDescent="0.35">
      <c r="A1023" t="s">
        <v>1035</v>
      </c>
      <c r="B1023" s="5">
        <v>45222</v>
      </c>
      <c r="C1023" t="s">
        <v>2227</v>
      </c>
      <c r="E1023" t="s">
        <v>2404</v>
      </c>
      <c r="F1023">
        <v>3</v>
      </c>
      <c r="G1023" s="7">
        <v>315.27</v>
      </c>
      <c r="H1023" s="3" t="s">
        <v>2961</v>
      </c>
      <c r="I1023" s="3" t="s">
        <v>3067</v>
      </c>
      <c r="J1023" s="3" t="s">
        <v>3071</v>
      </c>
      <c r="K1023" s="3" t="s">
        <v>4096</v>
      </c>
      <c r="L1023" s="3">
        <v>4</v>
      </c>
      <c r="M1023" s="10" t="s">
        <v>4275</v>
      </c>
      <c r="N1023" s="3" t="s">
        <v>4280</v>
      </c>
      <c r="O1023" s="7">
        <v>945.81</v>
      </c>
      <c r="P1023" s="3">
        <f t="shared" si="26"/>
        <v>945.81</v>
      </c>
    </row>
    <row r="1024" spans="1:16" x14ac:dyDescent="0.35">
      <c r="A1024" t="s">
        <v>1036</v>
      </c>
      <c r="B1024" s="5">
        <v>45712</v>
      </c>
      <c r="C1024" t="s">
        <v>2228</v>
      </c>
      <c r="E1024" t="s">
        <v>2405</v>
      </c>
      <c r="F1024">
        <v>3</v>
      </c>
      <c r="G1024" s="7">
        <v>450.98</v>
      </c>
      <c r="H1024" s="3" t="s">
        <v>2877</v>
      </c>
      <c r="I1024" s="3" t="s">
        <v>3067</v>
      </c>
      <c r="J1024" s="3" t="s">
        <v>3070</v>
      </c>
      <c r="K1024" s="3" t="s">
        <v>4097</v>
      </c>
      <c r="L1024" s="3">
        <v>8</v>
      </c>
      <c r="M1024" s="10" t="s">
        <v>4275</v>
      </c>
      <c r="N1024" s="3" t="s">
        <v>4279</v>
      </c>
      <c r="O1024" s="7">
        <v>1352.94</v>
      </c>
      <c r="P1024" s="3">
        <f t="shared" si="26"/>
        <v>1352.94</v>
      </c>
    </row>
    <row r="1025" spans="1:16" x14ac:dyDescent="0.35">
      <c r="A1025" t="s">
        <v>1037</v>
      </c>
      <c r="B1025" s="5">
        <v>45558</v>
      </c>
      <c r="C1025" t="s">
        <v>2229</v>
      </c>
      <c r="E1025" t="s">
        <v>2408</v>
      </c>
      <c r="F1025">
        <v>5</v>
      </c>
      <c r="G1025" s="7">
        <v>233.67</v>
      </c>
      <c r="H1025" s="3" t="s">
        <v>2493</v>
      </c>
      <c r="I1025" s="3" t="s">
        <v>3069</v>
      </c>
      <c r="J1025" s="3" t="s">
        <v>3070</v>
      </c>
      <c r="K1025" s="3" t="s">
        <v>4098</v>
      </c>
      <c r="L1025" s="3">
        <v>10</v>
      </c>
      <c r="N1025" s="3" t="s">
        <v>4279</v>
      </c>
      <c r="O1025" s="7">
        <v>1168.3499999999999</v>
      </c>
      <c r="P1025" s="3">
        <f t="shared" si="26"/>
        <v>1168.3499999999999</v>
      </c>
    </row>
    <row r="1026" spans="1:16" x14ac:dyDescent="0.35">
      <c r="A1026" t="s">
        <v>1038</v>
      </c>
      <c r="B1026" s="5">
        <v>45320</v>
      </c>
      <c r="C1026" t="s">
        <v>2230</v>
      </c>
      <c r="E1026" t="s">
        <v>2406</v>
      </c>
      <c r="F1026">
        <v>3</v>
      </c>
      <c r="G1026" s="7">
        <v>367.75</v>
      </c>
      <c r="H1026" s="3" t="s">
        <v>2769</v>
      </c>
      <c r="I1026" s="3" t="s">
        <v>3069</v>
      </c>
      <c r="J1026" s="3" t="s">
        <v>3074</v>
      </c>
      <c r="K1026" s="3" t="s">
        <v>4099</v>
      </c>
      <c r="L1026" s="3">
        <v>7</v>
      </c>
      <c r="M1026" s="10" t="s">
        <v>4276</v>
      </c>
      <c r="N1026" s="3" t="s">
        <v>4281</v>
      </c>
      <c r="O1026" s="7">
        <v>1103.25</v>
      </c>
      <c r="P1026" s="3">
        <f t="shared" si="26"/>
        <v>1103.25</v>
      </c>
    </row>
    <row r="1027" spans="1:16" x14ac:dyDescent="0.35">
      <c r="A1027" t="s">
        <v>1039</v>
      </c>
      <c r="B1027" s="5">
        <v>45794</v>
      </c>
      <c r="C1027" t="s">
        <v>2231</v>
      </c>
      <c r="E1027" t="s">
        <v>2406</v>
      </c>
      <c r="F1027">
        <v>1</v>
      </c>
      <c r="G1027" s="7">
        <v>23.53</v>
      </c>
      <c r="H1027" s="3" t="s">
        <v>2548</v>
      </c>
      <c r="I1027" s="3" t="s">
        <v>3068</v>
      </c>
      <c r="J1027" s="3" t="s">
        <v>3073</v>
      </c>
      <c r="K1027" s="3" t="s">
        <v>4100</v>
      </c>
      <c r="L1027" s="3">
        <v>2</v>
      </c>
      <c r="M1027" s="10" t="s">
        <v>4276</v>
      </c>
      <c r="N1027" s="3" t="s">
        <v>4278</v>
      </c>
      <c r="O1027" s="7">
        <v>23.53</v>
      </c>
      <c r="P1027" s="3">
        <f t="shared" ref="P1027:P1090" si="27">G1027*F1027</f>
        <v>23.53</v>
      </c>
    </row>
    <row r="1028" spans="1:16" x14ac:dyDescent="0.35">
      <c r="A1028" t="s">
        <v>1040</v>
      </c>
      <c r="B1028" s="5">
        <v>45047</v>
      </c>
      <c r="C1028" t="s">
        <v>2232</v>
      </c>
      <c r="E1028" t="s">
        <v>2403</v>
      </c>
      <c r="F1028">
        <v>1</v>
      </c>
      <c r="G1028" s="7">
        <v>677.48</v>
      </c>
      <c r="H1028" s="3" t="s">
        <v>2521</v>
      </c>
      <c r="I1028" s="3" t="s">
        <v>3066</v>
      </c>
      <c r="J1028" s="3" t="s">
        <v>3073</v>
      </c>
      <c r="K1028" s="3" t="s">
        <v>4101</v>
      </c>
      <c r="L1028" s="3">
        <v>1</v>
      </c>
      <c r="M1028" s="10" t="s">
        <v>4277</v>
      </c>
      <c r="N1028" s="3" t="s">
        <v>4281</v>
      </c>
      <c r="O1028" s="7">
        <v>677.48</v>
      </c>
      <c r="P1028" s="3">
        <f t="shared" si="27"/>
        <v>677.48</v>
      </c>
    </row>
    <row r="1029" spans="1:16" x14ac:dyDescent="0.35">
      <c r="A1029" t="s">
        <v>1041</v>
      </c>
      <c r="B1029" s="5">
        <v>45433</v>
      </c>
      <c r="C1029" t="s">
        <v>2233</v>
      </c>
      <c r="E1029" t="s">
        <v>2408</v>
      </c>
      <c r="F1029">
        <v>4</v>
      </c>
      <c r="G1029" s="7">
        <v>554.83000000000004</v>
      </c>
      <c r="H1029" s="3" t="s">
        <v>2908</v>
      </c>
      <c r="I1029" s="3" t="s">
        <v>3069</v>
      </c>
      <c r="J1029" s="3" t="s">
        <v>3072</v>
      </c>
      <c r="K1029" s="3" t="s">
        <v>4102</v>
      </c>
      <c r="L1029" s="3">
        <v>6</v>
      </c>
      <c r="N1029" s="3" t="s">
        <v>4282</v>
      </c>
      <c r="O1029" s="7">
        <v>2219.3200000000002</v>
      </c>
      <c r="P1029" s="3">
        <f t="shared" si="27"/>
        <v>2219.3200000000002</v>
      </c>
    </row>
    <row r="1030" spans="1:16" x14ac:dyDescent="0.35">
      <c r="A1030" t="s">
        <v>1042</v>
      </c>
      <c r="B1030" s="5">
        <v>44974</v>
      </c>
      <c r="C1030" t="s">
        <v>2234</v>
      </c>
      <c r="E1030" t="s">
        <v>2409</v>
      </c>
      <c r="F1030">
        <v>4</v>
      </c>
      <c r="G1030" s="7">
        <v>440.31</v>
      </c>
      <c r="H1030" s="3" t="s">
        <v>2610</v>
      </c>
      <c r="I1030" s="3" t="s">
        <v>3069</v>
      </c>
      <c r="J1030" s="3" t="s">
        <v>3071</v>
      </c>
      <c r="K1030" s="3" t="s">
        <v>4103</v>
      </c>
      <c r="L1030" s="3">
        <v>6</v>
      </c>
      <c r="N1030" s="3" t="s">
        <v>4278</v>
      </c>
      <c r="O1030" s="7">
        <v>1761.24</v>
      </c>
      <c r="P1030" s="3">
        <f t="shared" si="27"/>
        <v>1761.24</v>
      </c>
    </row>
    <row r="1031" spans="1:16" x14ac:dyDescent="0.35">
      <c r="A1031" t="s">
        <v>1043</v>
      </c>
      <c r="B1031" s="5">
        <v>45717</v>
      </c>
      <c r="C1031" t="s">
        <v>2235</v>
      </c>
      <c r="E1031" t="s">
        <v>2409</v>
      </c>
      <c r="F1031">
        <v>1</v>
      </c>
      <c r="G1031" s="7">
        <v>87.06</v>
      </c>
      <c r="H1031" s="3" t="s">
        <v>2988</v>
      </c>
      <c r="I1031" s="3" t="s">
        <v>3067</v>
      </c>
      <c r="J1031" s="3" t="s">
        <v>3070</v>
      </c>
      <c r="K1031" s="3" t="s">
        <v>4104</v>
      </c>
      <c r="L1031" s="3">
        <v>4</v>
      </c>
      <c r="M1031" s="10" t="s">
        <v>4276</v>
      </c>
      <c r="N1031" s="3" t="s">
        <v>4280</v>
      </c>
      <c r="O1031" s="7">
        <v>87.06</v>
      </c>
      <c r="P1031" s="3">
        <f t="shared" si="27"/>
        <v>87.06</v>
      </c>
    </row>
    <row r="1032" spans="1:16" x14ac:dyDescent="0.35">
      <c r="A1032" t="s">
        <v>1044</v>
      </c>
      <c r="B1032" s="5">
        <v>45201</v>
      </c>
      <c r="C1032" t="s">
        <v>2236</v>
      </c>
      <c r="E1032" t="s">
        <v>2404</v>
      </c>
      <c r="F1032">
        <v>4</v>
      </c>
      <c r="G1032" s="7">
        <v>245.28</v>
      </c>
      <c r="H1032" s="3" t="s">
        <v>3005</v>
      </c>
      <c r="I1032" s="3" t="s">
        <v>3067</v>
      </c>
      <c r="J1032" s="3" t="s">
        <v>3073</v>
      </c>
      <c r="K1032" s="3" t="s">
        <v>4105</v>
      </c>
      <c r="L1032" s="3">
        <v>6</v>
      </c>
      <c r="M1032" s="10" t="s">
        <v>4277</v>
      </c>
      <c r="N1032" s="3" t="s">
        <v>4280</v>
      </c>
      <c r="O1032" s="7">
        <v>981.12</v>
      </c>
      <c r="P1032" s="3">
        <f t="shared" si="27"/>
        <v>981.12</v>
      </c>
    </row>
    <row r="1033" spans="1:16" x14ac:dyDescent="0.35">
      <c r="A1033" t="s">
        <v>1045</v>
      </c>
      <c r="B1033" s="5">
        <v>44985</v>
      </c>
      <c r="C1033" t="s">
        <v>2237</v>
      </c>
      <c r="E1033" t="s">
        <v>2404</v>
      </c>
      <c r="F1033">
        <v>5</v>
      </c>
      <c r="G1033" s="7">
        <v>664.51</v>
      </c>
      <c r="H1033" s="3" t="s">
        <v>3006</v>
      </c>
      <c r="I1033" s="3" t="s">
        <v>3065</v>
      </c>
      <c r="J1033" s="3" t="s">
        <v>3074</v>
      </c>
      <c r="K1033" s="3" t="s">
        <v>4106</v>
      </c>
      <c r="L1033" s="3">
        <v>8</v>
      </c>
      <c r="M1033" s="10" t="s">
        <v>4275</v>
      </c>
      <c r="N1033" s="3" t="s">
        <v>4280</v>
      </c>
      <c r="O1033" s="7">
        <v>3322.55</v>
      </c>
      <c r="P1033" s="3">
        <f t="shared" si="27"/>
        <v>3322.55</v>
      </c>
    </row>
    <row r="1034" spans="1:16" x14ac:dyDescent="0.35">
      <c r="A1034" t="s">
        <v>1046</v>
      </c>
      <c r="B1034" s="5">
        <v>45036</v>
      </c>
      <c r="C1034" t="s">
        <v>2238</v>
      </c>
      <c r="E1034" t="s">
        <v>2406</v>
      </c>
      <c r="F1034">
        <v>1</v>
      </c>
      <c r="G1034" s="7">
        <v>618.67999999999995</v>
      </c>
      <c r="H1034" s="3" t="s">
        <v>2653</v>
      </c>
      <c r="I1034" s="3" t="s">
        <v>3066</v>
      </c>
      <c r="J1034" s="3" t="s">
        <v>3073</v>
      </c>
      <c r="K1034" s="3" t="s">
        <v>4107</v>
      </c>
      <c r="L1034" s="3">
        <v>6</v>
      </c>
      <c r="M1034" s="10" t="s">
        <v>4277</v>
      </c>
      <c r="N1034" s="3" t="s">
        <v>4279</v>
      </c>
      <c r="O1034" s="7">
        <v>618.67999999999995</v>
      </c>
      <c r="P1034" s="3">
        <f t="shared" si="27"/>
        <v>618.67999999999995</v>
      </c>
    </row>
    <row r="1035" spans="1:16" x14ac:dyDescent="0.35">
      <c r="A1035" t="s">
        <v>1047</v>
      </c>
      <c r="B1035" s="5">
        <v>45650</v>
      </c>
      <c r="C1035" t="s">
        <v>2239</v>
      </c>
      <c r="E1035" t="s">
        <v>2403</v>
      </c>
      <c r="F1035">
        <v>1</v>
      </c>
      <c r="G1035" s="7">
        <v>370.85</v>
      </c>
      <c r="H1035" s="3" t="s">
        <v>3007</v>
      </c>
      <c r="I1035" s="3" t="s">
        <v>3068</v>
      </c>
      <c r="J1035" s="3" t="s">
        <v>3073</v>
      </c>
      <c r="K1035" s="3" t="s">
        <v>4108</v>
      </c>
      <c r="L1035" s="3">
        <v>2</v>
      </c>
      <c r="M1035" s="10" t="s">
        <v>4276</v>
      </c>
      <c r="N1035" s="3" t="s">
        <v>4279</v>
      </c>
      <c r="O1035" s="7">
        <v>370.85</v>
      </c>
      <c r="P1035" s="3">
        <f t="shared" si="27"/>
        <v>370.85</v>
      </c>
    </row>
    <row r="1036" spans="1:16" x14ac:dyDescent="0.35">
      <c r="A1036" t="s">
        <v>1048</v>
      </c>
      <c r="B1036" s="5">
        <v>45459</v>
      </c>
      <c r="C1036" t="s">
        <v>2240</v>
      </c>
      <c r="E1036" t="s">
        <v>2407</v>
      </c>
      <c r="F1036">
        <v>4</v>
      </c>
      <c r="G1036" s="7">
        <v>517.98</v>
      </c>
      <c r="H1036" s="3" t="s">
        <v>3008</v>
      </c>
      <c r="I1036" s="3" t="s">
        <v>3069</v>
      </c>
      <c r="J1036" s="3" t="s">
        <v>3071</v>
      </c>
      <c r="K1036" s="3" t="s">
        <v>4109</v>
      </c>
      <c r="L1036" s="3">
        <v>8</v>
      </c>
      <c r="M1036" s="10" t="s">
        <v>4276</v>
      </c>
      <c r="N1036" s="3" t="s">
        <v>4281</v>
      </c>
      <c r="O1036" s="7">
        <v>2071.92</v>
      </c>
      <c r="P1036" s="3">
        <f t="shared" si="27"/>
        <v>2071.92</v>
      </c>
    </row>
    <row r="1037" spans="1:16" x14ac:dyDescent="0.35">
      <c r="A1037" t="s">
        <v>1049</v>
      </c>
      <c r="B1037" s="5">
        <v>45242</v>
      </c>
      <c r="C1037" t="s">
        <v>2241</v>
      </c>
      <c r="E1037" t="s">
        <v>2408</v>
      </c>
      <c r="F1037">
        <v>4</v>
      </c>
      <c r="G1037" s="7">
        <v>506.11</v>
      </c>
      <c r="H1037" s="3" t="s">
        <v>3009</v>
      </c>
      <c r="I1037" s="3" t="s">
        <v>3069</v>
      </c>
      <c r="J1037" s="3" t="s">
        <v>3071</v>
      </c>
      <c r="K1037" s="3" t="s">
        <v>4110</v>
      </c>
      <c r="L1037" s="3">
        <v>5</v>
      </c>
      <c r="N1037" s="3" t="s">
        <v>4279</v>
      </c>
      <c r="O1037" s="7">
        <v>2024.44</v>
      </c>
      <c r="P1037" s="3">
        <f t="shared" si="27"/>
        <v>2024.44</v>
      </c>
    </row>
    <row r="1038" spans="1:16" x14ac:dyDescent="0.35">
      <c r="A1038" t="s">
        <v>1050</v>
      </c>
      <c r="B1038" s="5">
        <v>45443</v>
      </c>
      <c r="C1038" t="s">
        <v>2242</v>
      </c>
      <c r="E1038" t="s">
        <v>2404</v>
      </c>
      <c r="F1038">
        <v>3</v>
      </c>
      <c r="G1038" s="7">
        <v>413.83</v>
      </c>
      <c r="H1038" s="3" t="s">
        <v>2474</v>
      </c>
      <c r="I1038" s="3" t="s">
        <v>3068</v>
      </c>
      <c r="J1038" s="3" t="s">
        <v>3070</v>
      </c>
      <c r="K1038" s="3" t="s">
        <v>4111</v>
      </c>
      <c r="L1038" s="3">
        <v>8</v>
      </c>
      <c r="M1038" s="10" t="s">
        <v>4275</v>
      </c>
      <c r="N1038" s="3" t="s">
        <v>4281</v>
      </c>
      <c r="O1038" s="7">
        <v>1241.49</v>
      </c>
      <c r="P1038" s="3">
        <f t="shared" si="27"/>
        <v>1241.49</v>
      </c>
    </row>
    <row r="1039" spans="1:16" x14ac:dyDescent="0.35">
      <c r="A1039" t="s">
        <v>1051</v>
      </c>
      <c r="B1039" s="5">
        <v>45273</v>
      </c>
      <c r="C1039" t="s">
        <v>2243</v>
      </c>
      <c r="E1039" t="s">
        <v>2407</v>
      </c>
      <c r="F1039">
        <v>1</v>
      </c>
      <c r="G1039" s="7">
        <v>249.81</v>
      </c>
      <c r="H1039" s="3" t="s">
        <v>2875</v>
      </c>
      <c r="I1039" s="3" t="s">
        <v>3069</v>
      </c>
      <c r="J1039" s="3" t="s">
        <v>3074</v>
      </c>
      <c r="K1039" s="3" t="s">
        <v>4112</v>
      </c>
      <c r="L1039" s="3">
        <v>1</v>
      </c>
      <c r="M1039" s="10" t="s">
        <v>4275</v>
      </c>
      <c r="N1039" s="3" t="s">
        <v>4282</v>
      </c>
      <c r="O1039" s="7">
        <v>249.81</v>
      </c>
      <c r="P1039" s="3">
        <f t="shared" si="27"/>
        <v>249.81</v>
      </c>
    </row>
    <row r="1040" spans="1:16" x14ac:dyDescent="0.35">
      <c r="A1040" t="s">
        <v>1052</v>
      </c>
      <c r="B1040" s="5">
        <v>45731</v>
      </c>
      <c r="C1040" t="s">
        <v>2244</v>
      </c>
      <c r="E1040" t="s">
        <v>2405</v>
      </c>
      <c r="F1040">
        <v>3</v>
      </c>
      <c r="G1040" s="7">
        <v>362.53</v>
      </c>
      <c r="H1040" s="3" t="s">
        <v>3010</v>
      </c>
      <c r="I1040" s="3" t="s">
        <v>3065</v>
      </c>
      <c r="J1040" s="3" t="s">
        <v>3072</v>
      </c>
      <c r="K1040" s="3" t="s">
        <v>4113</v>
      </c>
      <c r="L1040" s="3">
        <v>5</v>
      </c>
      <c r="N1040" s="3" t="s">
        <v>4281</v>
      </c>
      <c r="O1040" s="7">
        <v>1087.5899999999999</v>
      </c>
      <c r="P1040" s="3">
        <f t="shared" si="27"/>
        <v>1087.5899999999999</v>
      </c>
    </row>
    <row r="1041" spans="1:16" x14ac:dyDescent="0.35">
      <c r="A1041" t="s">
        <v>1053</v>
      </c>
      <c r="B1041" s="5">
        <v>45836</v>
      </c>
      <c r="C1041" t="s">
        <v>2245</v>
      </c>
      <c r="E1041" t="s">
        <v>2409</v>
      </c>
      <c r="F1041">
        <v>2</v>
      </c>
      <c r="G1041" s="7">
        <v>299.23</v>
      </c>
      <c r="H1041" s="3" t="s">
        <v>3011</v>
      </c>
      <c r="I1041" s="3" t="s">
        <v>3067</v>
      </c>
      <c r="J1041" s="3" t="s">
        <v>3071</v>
      </c>
      <c r="K1041" s="3" t="s">
        <v>4114</v>
      </c>
      <c r="L1041" s="3">
        <v>2</v>
      </c>
      <c r="M1041" s="10" t="s">
        <v>4277</v>
      </c>
      <c r="N1041" s="3" t="s">
        <v>4278</v>
      </c>
      <c r="O1041" s="7">
        <v>598.46</v>
      </c>
      <c r="P1041" s="3">
        <f t="shared" si="27"/>
        <v>598.46</v>
      </c>
    </row>
    <row r="1042" spans="1:16" x14ac:dyDescent="0.35">
      <c r="A1042" t="s">
        <v>1054</v>
      </c>
      <c r="B1042" s="5">
        <v>45245</v>
      </c>
      <c r="C1042" t="s">
        <v>2246</v>
      </c>
      <c r="E1042" t="s">
        <v>2405</v>
      </c>
      <c r="F1042">
        <v>1</v>
      </c>
      <c r="G1042" s="7">
        <v>536.07000000000005</v>
      </c>
      <c r="H1042" s="3" t="s">
        <v>2817</v>
      </c>
      <c r="I1042" s="3" t="s">
        <v>3065</v>
      </c>
      <c r="J1042" s="3" t="s">
        <v>3073</v>
      </c>
      <c r="K1042" s="3" t="s">
        <v>4115</v>
      </c>
      <c r="L1042" s="3">
        <v>5</v>
      </c>
      <c r="M1042" s="10" t="s">
        <v>4276</v>
      </c>
      <c r="N1042" s="3" t="s">
        <v>4282</v>
      </c>
      <c r="O1042" s="7">
        <v>536.07000000000005</v>
      </c>
      <c r="P1042" s="3">
        <f t="shared" si="27"/>
        <v>536.07000000000005</v>
      </c>
    </row>
    <row r="1043" spans="1:16" x14ac:dyDescent="0.35">
      <c r="A1043" t="s">
        <v>1055</v>
      </c>
      <c r="B1043" s="5">
        <v>44968</v>
      </c>
      <c r="C1043" t="s">
        <v>2247</v>
      </c>
      <c r="E1043" t="s">
        <v>2403</v>
      </c>
      <c r="F1043">
        <v>4</v>
      </c>
      <c r="G1043" s="7">
        <v>558.9</v>
      </c>
      <c r="H1043" s="3" t="s">
        <v>2608</v>
      </c>
      <c r="I1043" s="3" t="s">
        <v>3068</v>
      </c>
      <c r="J1043" s="3" t="s">
        <v>3070</v>
      </c>
      <c r="K1043" s="3" t="s">
        <v>4116</v>
      </c>
      <c r="L1043" s="3">
        <v>9</v>
      </c>
      <c r="M1043" s="10" t="s">
        <v>4277</v>
      </c>
      <c r="N1043" s="3" t="s">
        <v>4282</v>
      </c>
      <c r="O1043" s="7">
        <v>2235.6</v>
      </c>
      <c r="P1043" s="3">
        <f t="shared" si="27"/>
        <v>2235.6</v>
      </c>
    </row>
    <row r="1044" spans="1:16" x14ac:dyDescent="0.35">
      <c r="A1044" t="s">
        <v>1056</v>
      </c>
      <c r="B1044" s="5">
        <v>45635</v>
      </c>
      <c r="C1044" t="s">
        <v>2248</v>
      </c>
      <c r="E1044" t="s">
        <v>2405</v>
      </c>
      <c r="F1044">
        <v>2</v>
      </c>
      <c r="G1044" s="7">
        <v>409.75</v>
      </c>
      <c r="H1044" s="3" t="s">
        <v>2681</v>
      </c>
      <c r="I1044" s="3" t="s">
        <v>3065</v>
      </c>
      <c r="J1044" s="3" t="s">
        <v>3070</v>
      </c>
      <c r="K1044" s="3" t="s">
        <v>4117</v>
      </c>
      <c r="L1044" s="3">
        <v>2</v>
      </c>
      <c r="M1044" s="10" t="s">
        <v>4277</v>
      </c>
      <c r="N1044" s="3" t="s">
        <v>4281</v>
      </c>
      <c r="O1044" s="7">
        <v>819.5</v>
      </c>
      <c r="P1044" s="3">
        <f t="shared" si="27"/>
        <v>819.5</v>
      </c>
    </row>
    <row r="1045" spans="1:16" x14ac:dyDescent="0.35">
      <c r="A1045" t="s">
        <v>1057</v>
      </c>
      <c r="B1045" s="5">
        <v>45668</v>
      </c>
      <c r="C1045" t="s">
        <v>2249</v>
      </c>
      <c r="E1045" t="s">
        <v>2405</v>
      </c>
      <c r="F1045">
        <v>2</v>
      </c>
      <c r="G1045" s="7">
        <v>179.96</v>
      </c>
      <c r="H1045" s="3" t="s">
        <v>2991</v>
      </c>
      <c r="I1045" s="3" t="s">
        <v>3068</v>
      </c>
      <c r="J1045" s="3" t="s">
        <v>3070</v>
      </c>
      <c r="K1045" s="3" t="s">
        <v>4118</v>
      </c>
      <c r="L1045" s="3">
        <v>5</v>
      </c>
      <c r="N1045" s="3" t="s">
        <v>4278</v>
      </c>
      <c r="O1045" s="7">
        <v>359.92</v>
      </c>
      <c r="P1045" s="3">
        <f t="shared" si="27"/>
        <v>359.92</v>
      </c>
    </row>
    <row r="1046" spans="1:16" x14ac:dyDescent="0.35">
      <c r="A1046" t="s">
        <v>1058</v>
      </c>
      <c r="B1046" s="5">
        <v>45830</v>
      </c>
      <c r="C1046" t="s">
        <v>2250</v>
      </c>
      <c r="E1046" t="s">
        <v>2407</v>
      </c>
      <c r="F1046">
        <v>1</v>
      </c>
      <c r="G1046" s="7">
        <v>38.49</v>
      </c>
      <c r="H1046" s="3" t="s">
        <v>3012</v>
      </c>
      <c r="I1046" s="3" t="s">
        <v>3067</v>
      </c>
      <c r="J1046" s="3" t="s">
        <v>3073</v>
      </c>
      <c r="K1046" s="3" t="s">
        <v>4119</v>
      </c>
      <c r="L1046" s="3">
        <v>4</v>
      </c>
      <c r="M1046" s="10" t="s">
        <v>4276</v>
      </c>
      <c r="N1046" s="3" t="s">
        <v>4279</v>
      </c>
      <c r="O1046" s="7">
        <v>38.49</v>
      </c>
      <c r="P1046" s="3">
        <f t="shared" si="27"/>
        <v>38.49</v>
      </c>
    </row>
    <row r="1047" spans="1:16" x14ac:dyDescent="0.35">
      <c r="A1047" t="s">
        <v>1059</v>
      </c>
      <c r="B1047" s="5">
        <v>45555</v>
      </c>
      <c r="C1047" t="s">
        <v>2251</v>
      </c>
      <c r="E1047" t="s">
        <v>2408</v>
      </c>
      <c r="F1047">
        <v>5</v>
      </c>
      <c r="G1047" s="7">
        <v>316.39999999999998</v>
      </c>
      <c r="H1047" s="3" t="s">
        <v>3013</v>
      </c>
      <c r="I1047" s="3" t="s">
        <v>3068</v>
      </c>
      <c r="J1047" s="3" t="s">
        <v>3072</v>
      </c>
      <c r="K1047" s="3" t="s">
        <v>4120</v>
      </c>
      <c r="L1047" s="3">
        <v>7</v>
      </c>
      <c r="N1047" s="3" t="s">
        <v>4280</v>
      </c>
      <c r="O1047" s="7">
        <v>1582</v>
      </c>
      <c r="P1047" s="3">
        <f t="shared" si="27"/>
        <v>1582</v>
      </c>
    </row>
    <row r="1048" spans="1:16" x14ac:dyDescent="0.35">
      <c r="A1048" t="s">
        <v>1060</v>
      </c>
      <c r="B1048" s="5">
        <v>45572</v>
      </c>
      <c r="C1048" t="s">
        <v>2252</v>
      </c>
      <c r="E1048" t="s">
        <v>2405</v>
      </c>
      <c r="F1048">
        <v>3</v>
      </c>
      <c r="G1048" s="7">
        <v>547.15</v>
      </c>
      <c r="H1048" s="3" t="s">
        <v>3014</v>
      </c>
      <c r="I1048" s="3" t="s">
        <v>3066</v>
      </c>
      <c r="J1048" s="3" t="s">
        <v>3070</v>
      </c>
      <c r="K1048" s="3" t="s">
        <v>4121</v>
      </c>
      <c r="L1048" s="3">
        <v>4</v>
      </c>
      <c r="M1048" s="10" t="s">
        <v>4277</v>
      </c>
      <c r="N1048" s="3" t="s">
        <v>4278</v>
      </c>
      <c r="O1048" s="7">
        <v>1641.45</v>
      </c>
      <c r="P1048" s="3">
        <f t="shared" si="27"/>
        <v>1641.4499999999998</v>
      </c>
    </row>
    <row r="1049" spans="1:16" x14ac:dyDescent="0.35">
      <c r="A1049" t="s">
        <v>1061</v>
      </c>
      <c r="B1049" s="5">
        <v>45100</v>
      </c>
      <c r="C1049" t="s">
        <v>2253</v>
      </c>
      <c r="E1049" t="s">
        <v>2406</v>
      </c>
      <c r="F1049">
        <v>4</v>
      </c>
      <c r="G1049" s="7">
        <v>540.34</v>
      </c>
      <c r="H1049" s="3" t="s">
        <v>3015</v>
      </c>
      <c r="I1049" s="3" t="s">
        <v>3068</v>
      </c>
      <c r="J1049" s="3" t="s">
        <v>3070</v>
      </c>
      <c r="K1049" s="3" t="s">
        <v>4122</v>
      </c>
      <c r="L1049" s="3">
        <v>6</v>
      </c>
      <c r="M1049" s="10" t="s">
        <v>4277</v>
      </c>
      <c r="N1049" s="3" t="s">
        <v>4279</v>
      </c>
      <c r="O1049" s="7">
        <v>2161.36</v>
      </c>
      <c r="P1049" s="3">
        <f t="shared" si="27"/>
        <v>2161.36</v>
      </c>
    </row>
    <row r="1050" spans="1:16" x14ac:dyDescent="0.35">
      <c r="A1050" t="s">
        <v>1062</v>
      </c>
      <c r="B1050" s="5">
        <v>45544</v>
      </c>
      <c r="C1050" t="s">
        <v>2254</v>
      </c>
      <c r="E1050" t="s">
        <v>2403</v>
      </c>
      <c r="F1050">
        <v>4</v>
      </c>
      <c r="G1050" s="7">
        <v>73.650000000000006</v>
      </c>
      <c r="H1050" s="3" t="s">
        <v>3016</v>
      </c>
      <c r="I1050" s="3" t="s">
        <v>3065</v>
      </c>
      <c r="J1050" s="3" t="s">
        <v>3070</v>
      </c>
      <c r="K1050" s="3" t="s">
        <v>4123</v>
      </c>
      <c r="L1050" s="3">
        <v>9</v>
      </c>
      <c r="N1050" s="3" t="s">
        <v>4282</v>
      </c>
      <c r="O1050" s="7">
        <v>294.60000000000002</v>
      </c>
      <c r="P1050" s="3">
        <f t="shared" si="27"/>
        <v>294.60000000000002</v>
      </c>
    </row>
    <row r="1051" spans="1:16" x14ac:dyDescent="0.35">
      <c r="A1051" t="s">
        <v>1063</v>
      </c>
      <c r="B1051" s="5">
        <v>45491</v>
      </c>
      <c r="C1051" t="s">
        <v>2255</v>
      </c>
      <c r="E1051" t="s">
        <v>2409</v>
      </c>
      <c r="F1051">
        <v>5</v>
      </c>
      <c r="G1051" s="7">
        <v>391.86</v>
      </c>
      <c r="H1051" s="3" t="s">
        <v>2430</v>
      </c>
      <c r="I1051" s="3" t="s">
        <v>3067</v>
      </c>
      <c r="J1051" s="3" t="s">
        <v>3070</v>
      </c>
      <c r="K1051" s="3" t="s">
        <v>4124</v>
      </c>
      <c r="L1051" s="3">
        <v>6</v>
      </c>
      <c r="N1051" s="3" t="s">
        <v>4278</v>
      </c>
      <c r="O1051" s="7">
        <v>1959.3</v>
      </c>
      <c r="P1051" s="3">
        <f t="shared" si="27"/>
        <v>1959.3000000000002</v>
      </c>
    </row>
    <row r="1052" spans="1:16" x14ac:dyDescent="0.35">
      <c r="A1052" t="s">
        <v>1064</v>
      </c>
      <c r="B1052" s="5">
        <v>45158</v>
      </c>
      <c r="C1052" t="s">
        <v>2256</v>
      </c>
      <c r="E1052" t="s">
        <v>2408</v>
      </c>
      <c r="F1052">
        <v>5</v>
      </c>
      <c r="G1052" s="7">
        <v>69.7</v>
      </c>
      <c r="H1052" s="3" t="s">
        <v>2805</v>
      </c>
      <c r="I1052" s="3" t="s">
        <v>3066</v>
      </c>
      <c r="J1052" s="3" t="s">
        <v>3072</v>
      </c>
      <c r="K1052" s="3" t="s">
        <v>4125</v>
      </c>
      <c r="L1052" s="3">
        <v>9</v>
      </c>
      <c r="N1052" s="3" t="s">
        <v>4278</v>
      </c>
      <c r="O1052" s="7">
        <v>348.5</v>
      </c>
      <c r="P1052" s="3">
        <f t="shared" si="27"/>
        <v>348.5</v>
      </c>
    </row>
    <row r="1053" spans="1:16" x14ac:dyDescent="0.35">
      <c r="A1053" t="s">
        <v>1065</v>
      </c>
      <c r="B1053" s="5">
        <v>45721</v>
      </c>
      <c r="C1053" t="s">
        <v>2257</v>
      </c>
      <c r="E1053" t="s">
        <v>2403</v>
      </c>
      <c r="F1053">
        <v>5</v>
      </c>
      <c r="G1053" s="7">
        <v>26.43</v>
      </c>
      <c r="H1053" s="3" t="s">
        <v>3017</v>
      </c>
      <c r="I1053" s="3" t="s">
        <v>3068</v>
      </c>
      <c r="J1053" s="3" t="s">
        <v>3070</v>
      </c>
      <c r="K1053" s="3" t="s">
        <v>4126</v>
      </c>
      <c r="L1053" s="3">
        <v>5</v>
      </c>
      <c r="M1053" s="10" t="s">
        <v>4276</v>
      </c>
      <c r="N1053" s="3" t="s">
        <v>4281</v>
      </c>
      <c r="O1053" s="7">
        <v>132.15</v>
      </c>
      <c r="P1053" s="3">
        <f t="shared" si="27"/>
        <v>132.15</v>
      </c>
    </row>
    <row r="1054" spans="1:16" x14ac:dyDescent="0.35">
      <c r="A1054" t="s">
        <v>1066</v>
      </c>
      <c r="B1054" s="5">
        <v>45180</v>
      </c>
      <c r="C1054" t="s">
        <v>2258</v>
      </c>
      <c r="E1054" t="s">
        <v>2405</v>
      </c>
      <c r="F1054">
        <v>1</v>
      </c>
      <c r="G1054" s="7">
        <v>531.74</v>
      </c>
      <c r="H1054" s="3" t="s">
        <v>3018</v>
      </c>
      <c r="I1054" s="3" t="s">
        <v>3066</v>
      </c>
      <c r="J1054" s="3" t="s">
        <v>3070</v>
      </c>
      <c r="K1054" s="3" t="s">
        <v>4127</v>
      </c>
      <c r="L1054" s="3">
        <v>1</v>
      </c>
      <c r="M1054" s="10" t="s">
        <v>4277</v>
      </c>
      <c r="N1054" s="3" t="s">
        <v>4282</v>
      </c>
      <c r="O1054" s="7">
        <v>531.74</v>
      </c>
      <c r="P1054" s="3">
        <f t="shared" si="27"/>
        <v>531.74</v>
      </c>
    </row>
    <row r="1055" spans="1:16" x14ac:dyDescent="0.35">
      <c r="A1055" t="s">
        <v>1067</v>
      </c>
      <c r="B1055" s="5">
        <v>45550</v>
      </c>
      <c r="C1055" t="s">
        <v>2259</v>
      </c>
      <c r="E1055" t="s">
        <v>2404</v>
      </c>
      <c r="F1055">
        <v>2</v>
      </c>
      <c r="G1055" s="7">
        <v>496.62</v>
      </c>
      <c r="H1055" s="3" t="s">
        <v>2984</v>
      </c>
      <c r="I1055" s="3" t="s">
        <v>3066</v>
      </c>
      <c r="J1055" s="3" t="s">
        <v>3074</v>
      </c>
      <c r="K1055" s="3" t="s">
        <v>4128</v>
      </c>
      <c r="L1055" s="3">
        <v>2</v>
      </c>
      <c r="M1055" s="10" t="s">
        <v>4275</v>
      </c>
      <c r="N1055" s="3" t="s">
        <v>4278</v>
      </c>
      <c r="O1055" s="7">
        <v>993.24</v>
      </c>
      <c r="P1055" s="3">
        <f t="shared" si="27"/>
        <v>993.24</v>
      </c>
    </row>
    <row r="1056" spans="1:16" x14ac:dyDescent="0.35">
      <c r="A1056" t="s">
        <v>1068</v>
      </c>
      <c r="B1056" s="5">
        <v>45259</v>
      </c>
      <c r="C1056" t="s">
        <v>2260</v>
      </c>
      <c r="E1056" t="s">
        <v>2407</v>
      </c>
      <c r="F1056">
        <v>1</v>
      </c>
      <c r="G1056" s="7">
        <v>660.66</v>
      </c>
      <c r="H1056" s="3" t="s">
        <v>2490</v>
      </c>
      <c r="I1056" s="3" t="s">
        <v>3065</v>
      </c>
      <c r="J1056" s="3" t="s">
        <v>3073</v>
      </c>
      <c r="K1056" s="3" t="s">
        <v>4129</v>
      </c>
      <c r="L1056" s="3">
        <v>3</v>
      </c>
      <c r="M1056" s="10" t="s">
        <v>4277</v>
      </c>
      <c r="N1056" s="3" t="s">
        <v>4278</v>
      </c>
      <c r="O1056" s="7">
        <v>660.66</v>
      </c>
      <c r="P1056" s="3">
        <f t="shared" si="27"/>
        <v>660.66</v>
      </c>
    </row>
    <row r="1057" spans="1:16" x14ac:dyDescent="0.35">
      <c r="A1057" t="s">
        <v>1069</v>
      </c>
      <c r="B1057" s="5">
        <v>45222</v>
      </c>
      <c r="C1057" t="s">
        <v>2261</v>
      </c>
      <c r="E1057" t="s">
        <v>2403</v>
      </c>
      <c r="F1057">
        <v>4</v>
      </c>
      <c r="G1057" s="7">
        <v>274.82</v>
      </c>
      <c r="H1057" s="3" t="s">
        <v>2817</v>
      </c>
      <c r="I1057" s="3" t="s">
        <v>3065</v>
      </c>
      <c r="J1057" s="3" t="s">
        <v>3073</v>
      </c>
      <c r="K1057" s="3" t="s">
        <v>4130</v>
      </c>
      <c r="L1057" s="3">
        <v>9</v>
      </c>
      <c r="M1057" s="10" t="s">
        <v>4277</v>
      </c>
      <c r="N1057" s="3" t="s">
        <v>4280</v>
      </c>
      <c r="O1057" s="7">
        <v>1099.28</v>
      </c>
      <c r="P1057" s="3">
        <f t="shared" si="27"/>
        <v>1099.28</v>
      </c>
    </row>
    <row r="1058" spans="1:16" x14ac:dyDescent="0.35">
      <c r="A1058" t="s">
        <v>1070</v>
      </c>
      <c r="B1058" s="5">
        <v>45457</v>
      </c>
      <c r="C1058" t="s">
        <v>2262</v>
      </c>
      <c r="E1058" t="s">
        <v>2404</v>
      </c>
      <c r="F1058">
        <v>2</v>
      </c>
      <c r="G1058" s="7">
        <v>486.35</v>
      </c>
      <c r="H1058" s="3" t="s">
        <v>2566</v>
      </c>
      <c r="I1058" s="3" t="s">
        <v>3066</v>
      </c>
      <c r="J1058" s="3" t="s">
        <v>3074</v>
      </c>
      <c r="K1058" s="3" t="s">
        <v>4131</v>
      </c>
      <c r="L1058" s="3">
        <v>6</v>
      </c>
      <c r="M1058" s="10" t="s">
        <v>4275</v>
      </c>
      <c r="N1058" s="3" t="s">
        <v>4279</v>
      </c>
      <c r="O1058" s="7">
        <v>972.7</v>
      </c>
      <c r="P1058" s="3">
        <f t="shared" si="27"/>
        <v>972.7</v>
      </c>
    </row>
    <row r="1059" spans="1:16" x14ac:dyDescent="0.35">
      <c r="A1059" t="s">
        <v>1071</v>
      </c>
      <c r="B1059" s="5">
        <v>45559</v>
      </c>
      <c r="C1059" t="s">
        <v>2263</v>
      </c>
      <c r="E1059" t="s">
        <v>2408</v>
      </c>
      <c r="F1059">
        <v>3</v>
      </c>
      <c r="G1059" s="7">
        <v>428.88</v>
      </c>
      <c r="H1059" s="3" t="s">
        <v>2563</v>
      </c>
      <c r="I1059" s="3" t="s">
        <v>3065</v>
      </c>
      <c r="J1059" s="3" t="s">
        <v>3070</v>
      </c>
      <c r="K1059" s="3" t="s">
        <v>4132</v>
      </c>
      <c r="L1059" s="3">
        <v>3</v>
      </c>
      <c r="M1059" s="10" t="s">
        <v>4277</v>
      </c>
      <c r="N1059" s="3" t="s">
        <v>4281</v>
      </c>
      <c r="O1059" s="7">
        <v>1286.6400000000001</v>
      </c>
      <c r="P1059" s="3">
        <f t="shared" si="27"/>
        <v>1286.6399999999999</v>
      </c>
    </row>
    <row r="1060" spans="1:16" x14ac:dyDescent="0.35">
      <c r="A1060" t="s">
        <v>1072</v>
      </c>
      <c r="B1060" s="5">
        <v>45177</v>
      </c>
      <c r="C1060" t="s">
        <v>2264</v>
      </c>
      <c r="E1060" t="s">
        <v>2409</v>
      </c>
      <c r="F1060">
        <v>2</v>
      </c>
      <c r="G1060" s="7">
        <v>412.14</v>
      </c>
      <c r="H1060" s="3" t="s">
        <v>2640</v>
      </c>
      <c r="I1060" s="3" t="s">
        <v>3067</v>
      </c>
      <c r="J1060" s="3" t="s">
        <v>3072</v>
      </c>
      <c r="K1060" s="3" t="s">
        <v>4133</v>
      </c>
      <c r="L1060" s="3">
        <v>2</v>
      </c>
      <c r="M1060" s="10" t="s">
        <v>4276</v>
      </c>
      <c r="N1060" s="3" t="s">
        <v>4278</v>
      </c>
      <c r="O1060" s="7">
        <v>824.28</v>
      </c>
      <c r="P1060" s="3">
        <f t="shared" si="27"/>
        <v>824.28</v>
      </c>
    </row>
    <row r="1061" spans="1:16" x14ac:dyDescent="0.35">
      <c r="A1061" t="s">
        <v>1073</v>
      </c>
      <c r="B1061" s="5">
        <v>45557</v>
      </c>
      <c r="C1061" t="s">
        <v>2265</v>
      </c>
      <c r="E1061" t="s">
        <v>2409</v>
      </c>
      <c r="F1061">
        <v>1</v>
      </c>
      <c r="G1061" s="7">
        <v>265.64</v>
      </c>
      <c r="H1061" s="3" t="s">
        <v>3019</v>
      </c>
      <c r="I1061" s="3" t="s">
        <v>3067</v>
      </c>
      <c r="J1061" s="3" t="s">
        <v>3072</v>
      </c>
      <c r="K1061" s="3" t="s">
        <v>4134</v>
      </c>
      <c r="L1061" s="3">
        <v>3</v>
      </c>
      <c r="M1061" s="10" t="s">
        <v>4277</v>
      </c>
      <c r="N1061" s="3" t="s">
        <v>4278</v>
      </c>
      <c r="O1061" s="7">
        <v>265.64</v>
      </c>
      <c r="P1061" s="3">
        <f t="shared" si="27"/>
        <v>265.64</v>
      </c>
    </row>
    <row r="1062" spans="1:16" x14ac:dyDescent="0.35">
      <c r="A1062" t="s">
        <v>1074</v>
      </c>
      <c r="B1062" s="5">
        <v>45419</v>
      </c>
      <c r="C1062" t="s">
        <v>2266</v>
      </c>
      <c r="E1062" t="s">
        <v>2405</v>
      </c>
      <c r="F1062">
        <v>2</v>
      </c>
      <c r="G1062" s="7">
        <v>273.43</v>
      </c>
      <c r="H1062" s="3" t="s">
        <v>2702</v>
      </c>
      <c r="I1062" s="3" t="s">
        <v>3069</v>
      </c>
      <c r="J1062" s="3" t="s">
        <v>3070</v>
      </c>
      <c r="K1062" s="3" t="s">
        <v>4135</v>
      </c>
      <c r="L1062" s="3">
        <v>7</v>
      </c>
      <c r="M1062" s="10" t="s">
        <v>4277</v>
      </c>
      <c r="N1062" s="3" t="s">
        <v>4279</v>
      </c>
      <c r="O1062" s="7">
        <v>546.86</v>
      </c>
      <c r="P1062" s="3">
        <f t="shared" si="27"/>
        <v>546.86</v>
      </c>
    </row>
    <row r="1063" spans="1:16" x14ac:dyDescent="0.35">
      <c r="A1063" t="s">
        <v>1075</v>
      </c>
      <c r="B1063" s="5">
        <v>45686</v>
      </c>
      <c r="C1063" t="s">
        <v>2267</v>
      </c>
      <c r="E1063" t="s">
        <v>2408</v>
      </c>
      <c r="F1063">
        <v>5</v>
      </c>
      <c r="G1063" s="7">
        <v>131.69999999999999</v>
      </c>
      <c r="H1063" s="3" t="s">
        <v>2442</v>
      </c>
      <c r="I1063" s="3" t="s">
        <v>3069</v>
      </c>
      <c r="J1063" s="3" t="s">
        <v>3070</v>
      </c>
      <c r="K1063" s="3" t="s">
        <v>4136</v>
      </c>
      <c r="L1063" s="3">
        <v>8</v>
      </c>
      <c r="M1063" s="10" t="s">
        <v>4276</v>
      </c>
      <c r="N1063" s="3" t="s">
        <v>4282</v>
      </c>
      <c r="O1063" s="7">
        <v>658.5</v>
      </c>
      <c r="P1063" s="3">
        <f t="shared" si="27"/>
        <v>658.5</v>
      </c>
    </row>
    <row r="1064" spans="1:16" x14ac:dyDescent="0.35">
      <c r="A1064" t="s">
        <v>1076</v>
      </c>
      <c r="B1064" s="5">
        <v>45161</v>
      </c>
      <c r="C1064" t="s">
        <v>2268</v>
      </c>
      <c r="E1064" t="s">
        <v>2406</v>
      </c>
      <c r="F1064">
        <v>5</v>
      </c>
      <c r="G1064" s="7">
        <v>85.52</v>
      </c>
      <c r="H1064" s="3" t="s">
        <v>2676</v>
      </c>
      <c r="I1064" s="3" t="s">
        <v>3068</v>
      </c>
      <c r="J1064" s="3" t="s">
        <v>3071</v>
      </c>
      <c r="K1064" s="3" t="s">
        <v>4137</v>
      </c>
      <c r="L1064" s="3">
        <v>5</v>
      </c>
      <c r="N1064" s="3" t="s">
        <v>4281</v>
      </c>
      <c r="O1064" s="7">
        <v>427.6</v>
      </c>
      <c r="P1064" s="3">
        <f t="shared" si="27"/>
        <v>427.59999999999997</v>
      </c>
    </row>
    <row r="1065" spans="1:16" x14ac:dyDescent="0.35">
      <c r="A1065" t="s">
        <v>1077</v>
      </c>
      <c r="B1065" s="5">
        <v>45462</v>
      </c>
      <c r="C1065" t="s">
        <v>2269</v>
      </c>
      <c r="E1065" t="s">
        <v>2409</v>
      </c>
      <c r="F1065">
        <v>2</v>
      </c>
      <c r="G1065" s="7">
        <v>320.68</v>
      </c>
      <c r="H1065" s="3" t="s">
        <v>2564</v>
      </c>
      <c r="I1065" s="3" t="s">
        <v>3067</v>
      </c>
      <c r="J1065" s="3" t="s">
        <v>3070</v>
      </c>
      <c r="K1065" s="3" t="s">
        <v>4138</v>
      </c>
      <c r="L1065" s="3">
        <v>5</v>
      </c>
      <c r="M1065" s="10" t="s">
        <v>4276</v>
      </c>
      <c r="N1065" s="3" t="s">
        <v>4279</v>
      </c>
      <c r="O1065" s="7">
        <v>641.36</v>
      </c>
      <c r="P1065" s="3">
        <f t="shared" si="27"/>
        <v>641.36</v>
      </c>
    </row>
    <row r="1066" spans="1:16" x14ac:dyDescent="0.35">
      <c r="A1066" t="s">
        <v>1078</v>
      </c>
      <c r="B1066" s="5">
        <v>45700</v>
      </c>
      <c r="C1066" t="s">
        <v>2270</v>
      </c>
      <c r="E1066" t="s">
        <v>2408</v>
      </c>
      <c r="F1066">
        <v>4</v>
      </c>
      <c r="G1066" s="7">
        <v>198.81</v>
      </c>
      <c r="H1066" s="3" t="s">
        <v>2646</v>
      </c>
      <c r="I1066" s="3" t="s">
        <v>3069</v>
      </c>
      <c r="J1066" s="3" t="s">
        <v>3072</v>
      </c>
      <c r="K1066" s="3" t="s">
        <v>4139</v>
      </c>
      <c r="L1066" s="3">
        <v>9</v>
      </c>
      <c r="M1066" s="10" t="s">
        <v>4276</v>
      </c>
      <c r="N1066" s="3" t="s">
        <v>4279</v>
      </c>
      <c r="O1066" s="7">
        <v>795.24</v>
      </c>
      <c r="P1066" s="3">
        <f t="shared" si="27"/>
        <v>795.24</v>
      </c>
    </row>
    <row r="1067" spans="1:16" x14ac:dyDescent="0.35">
      <c r="A1067" t="s">
        <v>1079</v>
      </c>
      <c r="B1067" s="5">
        <v>45229</v>
      </c>
      <c r="C1067" t="s">
        <v>2271</v>
      </c>
      <c r="E1067" t="s">
        <v>2407</v>
      </c>
      <c r="F1067">
        <v>5</v>
      </c>
      <c r="G1067" s="7">
        <v>666.8</v>
      </c>
      <c r="H1067" s="3" t="s">
        <v>2746</v>
      </c>
      <c r="I1067" s="3" t="s">
        <v>3065</v>
      </c>
      <c r="J1067" s="3" t="s">
        <v>3073</v>
      </c>
      <c r="K1067" s="3" t="s">
        <v>4140</v>
      </c>
      <c r="L1067" s="3">
        <v>7</v>
      </c>
      <c r="M1067" s="10" t="s">
        <v>4275</v>
      </c>
      <c r="N1067" s="3" t="s">
        <v>4279</v>
      </c>
      <c r="O1067" s="7">
        <v>3334</v>
      </c>
      <c r="P1067" s="3">
        <f t="shared" si="27"/>
        <v>3334</v>
      </c>
    </row>
    <row r="1068" spans="1:16" x14ac:dyDescent="0.35">
      <c r="A1068" t="s">
        <v>1080</v>
      </c>
      <c r="B1068" s="5">
        <v>45280</v>
      </c>
      <c r="C1068" t="s">
        <v>2272</v>
      </c>
      <c r="E1068" t="s">
        <v>2409</v>
      </c>
      <c r="F1068">
        <v>1</v>
      </c>
      <c r="G1068" s="7">
        <v>355.09</v>
      </c>
      <c r="H1068" s="3" t="s">
        <v>2878</v>
      </c>
      <c r="I1068" s="3" t="s">
        <v>3065</v>
      </c>
      <c r="J1068" s="3" t="s">
        <v>3071</v>
      </c>
      <c r="K1068" s="3" t="s">
        <v>4141</v>
      </c>
      <c r="L1068" s="3">
        <v>5</v>
      </c>
      <c r="M1068" s="10" t="s">
        <v>4275</v>
      </c>
      <c r="N1068" s="3" t="s">
        <v>4278</v>
      </c>
      <c r="O1068" s="7">
        <v>355.09</v>
      </c>
      <c r="P1068" s="3">
        <f t="shared" si="27"/>
        <v>355.09</v>
      </c>
    </row>
    <row r="1069" spans="1:16" x14ac:dyDescent="0.35">
      <c r="A1069" t="s">
        <v>1081</v>
      </c>
      <c r="B1069" s="5">
        <v>45083</v>
      </c>
      <c r="C1069" t="s">
        <v>2273</v>
      </c>
      <c r="E1069" t="s">
        <v>2404</v>
      </c>
      <c r="F1069">
        <v>2</v>
      </c>
      <c r="G1069" s="7">
        <v>316.2</v>
      </c>
      <c r="H1069" s="3" t="s">
        <v>2475</v>
      </c>
      <c r="I1069" s="3" t="s">
        <v>3066</v>
      </c>
      <c r="J1069" s="3" t="s">
        <v>3072</v>
      </c>
      <c r="K1069" s="3" t="s">
        <v>4142</v>
      </c>
      <c r="L1069" s="3">
        <v>2</v>
      </c>
      <c r="N1069" s="3" t="s">
        <v>4278</v>
      </c>
      <c r="O1069" s="7">
        <v>632.4</v>
      </c>
      <c r="P1069" s="3">
        <f t="shared" si="27"/>
        <v>632.4</v>
      </c>
    </row>
    <row r="1070" spans="1:16" x14ac:dyDescent="0.35">
      <c r="A1070" t="s">
        <v>1082</v>
      </c>
      <c r="B1070" s="5">
        <v>45507</v>
      </c>
      <c r="C1070" t="s">
        <v>2274</v>
      </c>
      <c r="E1070" t="s">
        <v>2408</v>
      </c>
      <c r="F1070">
        <v>1</v>
      </c>
      <c r="G1070" s="7">
        <v>133.38999999999999</v>
      </c>
      <c r="H1070" s="3" t="s">
        <v>3020</v>
      </c>
      <c r="I1070" s="3" t="s">
        <v>3065</v>
      </c>
      <c r="J1070" s="3" t="s">
        <v>3070</v>
      </c>
      <c r="K1070" s="3" t="s">
        <v>4143</v>
      </c>
      <c r="L1070" s="3">
        <v>2</v>
      </c>
      <c r="M1070" s="10" t="s">
        <v>4275</v>
      </c>
      <c r="N1070" s="3" t="s">
        <v>4279</v>
      </c>
      <c r="O1070" s="7">
        <v>133.38999999999999</v>
      </c>
      <c r="P1070" s="3">
        <f t="shared" si="27"/>
        <v>133.38999999999999</v>
      </c>
    </row>
    <row r="1071" spans="1:16" x14ac:dyDescent="0.35">
      <c r="A1071" t="s">
        <v>1083</v>
      </c>
      <c r="B1071" s="5">
        <v>44982</v>
      </c>
      <c r="C1071" t="s">
        <v>2275</v>
      </c>
      <c r="E1071" t="s">
        <v>2403</v>
      </c>
      <c r="F1071">
        <v>1</v>
      </c>
      <c r="G1071" s="7">
        <v>454.23</v>
      </c>
      <c r="H1071" s="3" t="s">
        <v>2617</v>
      </c>
      <c r="I1071" s="3" t="s">
        <v>3068</v>
      </c>
      <c r="J1071" s="3" t="s">
        <v>3072</v>
      </c>
      <c r="K1071" s="3" t="s">
        <v>4144</v>
      </c>
      <c r="L1071" s="3">
        <v>3</v>
      </c>
      <c r="N1071" s="3" t="s">
        <v>4281</v>
      </c>
      <c r="O1071" s="7">
        <v>454.23</v>
      </c>
      <c r="P1071" s="3">
        <f t="shared" si="27"/>
        <v>454.23</v>
      </c>
    </row>
    <row r="1072" spans="1:16" x14ac:dyDescent="0.35">
      <c r="A1072" t="s">
        <v>1084</v>
      </c>
      <c r="B1072" s="5">
        <v>45541</v>
      </c>
      <c r="C1072" t="s">
        <v>2276</v>
      </c>
      <c r="E1072" t="s">
        <v>2409</v>
      </c>
      <c r="F1072">
        <v>4</v>
      </c>
      <c r="G1072" s="7">
        <v>491.29</v>
      </c>
      <c r="H1072" s="3" t="s">
        <v>2485</v>
      </c>
      <c r="I1072" s="3" t="s">
        <v>3065</v>
      </c>
      <c r="J1072" s="3" t="s">
        <v>3074</v>
      </c>
      <c r="K1072" s="3" t="s">
        <v>4145</v>
      </c>
      <c r="L1072" s="3">
        <v>6</v>
      </c>
      <c r="N1072" s="3" t="s">
        <v>4280</v>
      </c>
      <c r="O1072" s="7">
        <v>1965.16</v>
      </c>
      <c r="P1072" s="3">
        <f t="shared" si="27"/>
        <v>1965.16</v>
      </c>
    </row>
    <row r="1073" spans="1:16" x14ac:dyDescent="0.35">
      <c r="A1073" t="s">
        <v>1085</v>
      </c>
      <c r="B1073" s="5">
        <v>45832</v>
      </c>
      <c r="C1073" t="s">
        <v>2277</v>
      </c>
      <c r="E1073" t="s">
        <v>2404</v>
      </c>
      <c r="F1073">
        <v>2</v>
      </c>
      <c r="G1073" s="7">
        <v>255.14</v>
      </c>
      <c r="H1073" s="3" t="s">
        <v>2717</v>
      </c>
      <c r="I1073" s="3" t="s">
        <v>3069</v>
      </c>
      <c r="J1073" s="3" t="s">
        <v>3070</v>
      </c>
      <c r="K1073" s="3" t="s">
        <v>4146</v>
      </c>
      <c r="L1073" s="3">
        <v>2</v>
      </c>
      <c r="N1073" s="3" t="s">
        <v>4282</v>
      </c>
      <c r="O1073" s="7">
        <v>510.28</v>
      </c>
      <c r="P1073" s="3">
        <f t="shared" si="27"/>
        <v>510.28</v>
      </c>
    </row>
    <row r="1074" spans="1:16" x14ac:dyDescent="0.35">
      <c r="A1074" t="s">
        <v>1086</v>
      </c>
      <c r="B1074" s="5">
        <v>44983</v>
      </c>
      <c r="C1074" t="s">
        <v>2278</v>
      </c>
      <c r="E1074" t="s">
        <v>2403</v>
      </c>
      <c r="F1074">
        <v>1</v>
      </c>
      <c r="G1074" s="7">
        <v>392.61</v>
      </c>
      <c r="H1074" s="3" t="s">
        <v>2635</v>
      </c>
      <c r="I1074" s="3" t="s">
        <v>3068</v>
      </c>
      <c r="J1074" s="3" t="s">
        <v>3071</v>
      </c>
      <c r="K1074" s="3" t="s">
        <v>4147</v>
      </c>
      <c r="L1074" s="3">
        <v>4</v>
      </c>
      <c r="M1074" s="10" t="s">
        <v>4275</v>
      </c>
      <c r="N1074" s="3" t="s">
        <v>4279</v>
      </c>
      <c r="O1074" s="7">
        <v>392.61</v>
      </c>
      <c r="P1074" s="3">
        <f t="shared" si="27"/>
        <v>392.61</v>
      </c>
    </row>
    <row r="1075" spans="1:16" x14ac:dyDescent="0.35">
      <c r="A1075" t="s">
        <v>1087</v>
      </c>
      <c r="B1075" s="5">
        <v>45576</v>
      </c>
      <c r="C1075" t="s">
        <v>2279</v>
      </c>
      <c r="E1075" t="s">
        <v>2405</v>
      </c>
      <c r="F1075">
        <v>4</v>
      </c>
      <c r="G1075" s="7">
        <v>362.06</v>
      </c>
      <c r="H1075" s="3" t="s">
        <v>2631</v>
      </c>
      <c r="I1075" s="3" t="s">
        <v>3065</v>
      </c>
      <c r="J1075" s="3" t="s">
        <v>3072</v>
      </c>
      <c r="K1075" s="3" t="s">
        <v>4148</v>
      </c>
      <c r="L1075" s="3">
        <v>4</v>
      </c>
      <c r="N1075" s="3" t="s">
        <v>4281</v>
      </c>
      <c r="O1075" s="7">
        <v>1448.24</v>
      </c>
      <c r="P1075" s="3">
        <f t="shared" si="27"/>
        <v>1448.24</v>
      </c>
    </row>
    <row r="1076" spans="1:16" x14ac:dyDescent="0.35">
      <c r="A1076" t="s">
        <v>1088</v>
      </c>
      <c r="B1076" s="5">
        <v>45422</v>
      </c>
      <c r="C1076" t="s">
        <v>2280</v>
      </c>
      <c r="E1076" t="s">
        <v>2404</v>
      </c>
      <c r="F1076">
        <v>1</v>
      </c>
      <c r="G1076" s="7">
        <v>222.73</v>
      </c>
      <c r="H1076" s="3" t="s">
        <v>3021</v>
      </c>
      <c r="I1076" s="3" t="s">
        <v>3066</v>
      </c>
      <c r="J1076" s="3" t="s">
        <v>3072</v>
      </c>
      <c r="K1076" s="3" t="s">
        <v>4149</v>
      </c>
      <c r="L1076" s="3">
        <v>4</v>
      </c>
      <c r="N1076" s="3" t="s">
        <v>4282</v>
      </c>
      <c r="O1076" s="7">
        <v>222.73</v>
      </c>
      <c r="P1076" s="3">
        <f t="shared" si="27"/>
        <v>222.73</v>
      </c>
    </row>
    <row r="1077" spans="1:16" x14ac:dyDescent="0.35">
      <c r="A1077" t="s">
        <v>1089</v>
      </c>
      <c r="B1077" s="5">
        <v>45535</v>
      </c>
      <c r="C1077" t="s">
        <v>2281</v>
      </c>
      <c r="E1077" t="s">
        <v>2403</v>
      </c>
      <c r="F1077">
        <v>2</v>
      </c>
      <c r="G1077" s="7">
        <v>552.63</v>
      </c>
      <c r="H1077" s="3" t="s">
        <v>2591</v>
      </c>
      <c r="I1077" s="3" t="s">
        <v>3065</v>
      </c>
      <c r="J1077" s="3" t="s">
        <v>3073</v>
      </c>
      <c r="K1077" s="3" t="s">
        <v>4150</v>
      </c>
      <c r="L1077" s="3">
        <v>7</v>
      </c>
      <c r="M1077" s="10" t="s">
        <v>4277</v>
      </c>
      <c r="N1077" s="3" t="s">
        <v>4278</v>
      </c>
      <c r="O1077" s="7">
        <v>1105.26</v>
      </c>
      <c r="P1077" s="3">
        <f t="shared" si="27"/>
        <v>1105.26</v>
      </c>
    </row>
    <row r="1078" spans="1:16" x14ac:dyDescent="0.35">
      <c r="A1078" t="s">
        <v>1090</v>
      </c>
      <c r="B1078" s="5">
        <v>45054</v>
      </c>
      <c r="C1078" t="s">
        <v>2282</v>
      </c>
      <c r="E1078" t="s">
        <v>2408</v>
      </c>
      <c r="F1078">
        <v>4</v>
      </c>
      <c r="G1078" s="7">
        <v>686.61</v>
      </c>
      <c r="H1078" s="3" t="s">
        <v>3005</v>
      </c>
      <c r="I1078" s="3" t="s">
        <v>3069</v>
      </c>
      <c r="J1078" s="3" t="s">
        <v>3070</v>
      </c>
      <c r="K1078" s="3" t="s">
        <v>4151</v>
      </c>
      <c r="L1078" s="3">
        <v>6</v>
      </c>
      <c r="N1078" s="3" t="s">
        <v>4279</v>
      </c>
      <c r="O1078" s="7">
        <v>2746.44</v>
      </c>
      <c r="P1078" s="3">
        <f t="shared" si="27"/>
        <v>2746.44</v>
      </c>
    </row>
    <row r="1079" spans="1:16" x14ac:dyDescent="0.35">
      <c r="A1079" t="s">
        <v>1091</v>
      </c>
      <c r="B1079" s="5">
        <v>45723</v>
      </c>
      <c r="C1079" t="s">
        <v>2283</v>
      </c>
      <c r="E1079" t="s">
        <v>2407</v>
      </c>
      <c r="F1079">
        <v>3</v>
      </c>
      <c r="G1079" s="7">
        <v>305.16000000000003</v>
      </c>
      <c r="H1079" s="3" t="s">
        <v>2517</v>
      </c>
      <c r="I1079" s="3" t="s">
        <v>3067</v>
      </c>
      <c r="J1079" s="3" t="s">
        <v>3071</v>
      </c>
      <c r="K1079" s="3" t="s">
        <v>4152</v>
      </c>
      <c r="L1079" s="3">
        <v>8</v>
      </c>
      <c r="M1079" s="10" t="s">
        <v>4275</v>
      </c>
      <c r="N1079" s="3" t="s">
        <v>4279</v>
      </c>
      <c r="O1079" s="7">
        <v>915.48</v>
      </c>
      <c r="P1079" s="3">
        <f t="shared" si="27"/>
        <v>915.48</v>
      </c>
    </row>
    <row r="1080" spans="1:16" x14ac:dyDescent="0.35">
      <c r="A1080" t="s">
        <v>1092</v>
      </c>
      <c r="B1080" s="5">
        <v>45003</v>
      </c>
      <c r="C1080" t="s">
        <v>2284</v>
      </c>
      <c r="E1080" t="s">
        <v>2409</v>
      </c>
      <c r="F1080">
        <v>1</v>
      </c>
      <c r="G1080" s="7">
        <v>41.09</v>
      </c>
      <c r="H1080" s="3" t="s">
        <v>2437</v>
      </c>
      <c r="I1080" s="3" t="s">
        <v>3066</v>
      </c>
      <c r="J1080" s="3" t="s">
        <v>3072</v>
      </c>
      <c r="K1080" s="3" t="s">
        <v>4153</v>
      </c>
      <c r="L1080" s="3">
        <v>4</v>
      </c>
      <c r="M1080" s="10" t="s">
        <v>4277</v>
      </c>
      <c r="N1080" s="3" t="s">
        <v>4280</v>
      </c>
      <c r="O1080" s="7">
        <v>41.09</v>
      </c>
      <c r="P1080" s="3">
        <f t="shared" si="27"/>
        <v>41.09</v>
      </c>
    </row>
    <row r="1081" spans="1:16" x14ac:dyDescent="0.35">
      <c r="A1081" t="s">
        <v>1093</v>
      </c>
      <c r="B1081" s="5">
        <v>45463</v>
      </c>
      <c r="C1081" t="s">
        <v>2285</v>
      </c>
      <c r="E1081" t="s">
        <v>2404</v>
      </c>
      <c r="F1081">
        <v>5</v>
      </c>
      <c r="G1081" s="7">
        <v>634</v>
      </c>
      <c r="H1081" s="3" t="s">
        <v>2980</v>
      </c>
      <c r="I1081" s="3" t="s">
        <v>3068</v>
      </c>
      <c r="J1081" s="3" t="s">
        <v>3073</v>
      </c>
      <c r="K1081" s="3" t="s">
        <v>4154</v>
      </c>
      <c r="L1081" s="3">
        <v>8</v>
      </c>
      <c r="N1081" s="3" t="s">
        <v>4280</v>
      </c>
      <c r="O1081" s="7">
        <v>3170</v>
      </c>
      <c r="P1081" s="3">
        <f t="shared" si="27"/>
        <v>3170</v>
      </c>
    </row>
    <row r="1082" spans="1:16" x14ac:dyDescent="0.35">
      <c r="A1082" t="s">
        <v>1094</v>
      </c>
      <c r="B1082" s="5">
        <v>44946</v>
      </c>
      <c r="C1082" t="s">
        <v>2286</v>
      </c>
      <c r="E1082" t="s">
        <v>2408</v>
      </c>
      <c r="F1082">
        <v>5</v>
      </c>
      <c r="G1082" s="7">
        <v>464.74</v>
      </c>
      <c r="H1082" s="3" t="s">
        <v>3022</v>
      </c>
      <c r="I1082" s="3" t="s">
        <v>3068</v>
      </c>
      <c r="J1082" s="3" t="s">
        <v>3073</v>
      </c>
      <c r="K1082" s="3" t="s">
        <v>4155</v>
      </c>
      <c r="L1082" s="3">
        <v>7</v>
      </c>
      <c r="N1082" s="3" t="s">
        <v>4279</v>
      </c>
      <c r="O1082" s="7">
        <v>2323.6999999999998</v>
      </c>
      <c r="P1082" s="3">
        <f t="shared" si="27"/>
        <v>2323.6999999999998</v>
      </c>
    </row>
    <row r="1083" spans="1:16" x14ac:dyDescent="0.35">
      <c r="A1083" t="s">
        <v>1095</v>
      </c>
      <c r="B1083" s="5">
        <v>45037</v>
      </c>
      <c r="C1083" t="s">
        <v>2287</v>
      </c>
      <c r="E1083" t="s">
        <v>2403</v>
      </c>
      <c r="F1083">
        <v>4</v>
      </c>
      <c r="G1083" s="7">
        <v>425.6</v>
      </c>
      <c r="H1083" s="3" t="s">
        <v>2704</v>
      </c>
      <c r="I1083" s="3" t="s">
        <v>3067</v>
      </c>
      <c r="J1083" s="3" t="s">
        <v>3074</v>
      </c>
      <c r="K1083" s="3" t="s">
        <v>4156</v>
      </c>
      <c r="L1083" s="3">
        <v>5</v>
      </c>
      <c r="M1083" s="10" t="s">
        <v>4276</v>
      </c>
      <c r="N1083" s="3" t="s">
        <v>4282</v>
      </c>
      <c r="O1083" s="7">
        <v>1702.4</v>
      </c>
      <c r="P1083" s="3">
        <f t="shared" si="27"/>
        <v>1702.4</v>
      </c>
    </row>
    <row r="1084" spans="1:16" x14ac:dyDescent="0.35">
      <c r="A1084" t="s">
        <v>1096</v>
      </c>
      <c r="B1084" s="5">
        <v>45205</v>
      </c>
      <c r="C1084" t="s">
        <v>2288</v>
      </c>
      <c r="E1084" t="s">
        <v>2406</v>
      </c>
      <c r="F1084">
        <v>3</v>
      </c>
      <c r="G1084" s="7">
        <v>573.22</v>
      </c>
      <c r="H1084" s="3" t="s">
        <v>3011</v>
      </c>
      <c r="I1084" s="3" t="s">
        <v>3065</v>
      </c>
      <c r="J1084" s="3" t="s">
        <v>3074</v>
      </c>
      <c r="K1084" s="3" t="s">
        <v>4157</v>
      </c>
      <c r="L1084" s="3">
        <v>5</v>
      </c>
      <c r="M1084" s="10" t="s">
        <v>4275</v>
      </c>
      <c r="N1084" s="3" t="s">
        <v>4280</v>
      </c>
      <c r="O1084" s="7">
        <v>1719.66</v>
      </c>
      <c r="P1084" s="3">
        <f t="shared" si="27"/>
        <v>1719.66</v>
      </c>
    </row>
    <row r="1085" spans="1:16" x14ac:dyDescent="0.35">
      <c r="A1085" t="s">
        <v>1097</v>
      </c>
      <c r="B1085" s="5">
        <v>45482</v>
      </c>
      <c r="C1085" t="s">
        <v>2289</v>
      </c>
      <c r="E1085" t="s">
        <v>2406</v>
      </c>
      <c r="F1085">
        <v>1</v>
      </c>
      <c r="G1085" s="7">
        <v>123.28</v>
      </c>
      <c r="H1085" s="3" t="s">
        <v>2440</v>
      </c>
      <c r="I1085" s="3" t="s">
        <v>3067</v>
      </c>
      <c r="J1085" s="3" t="s">
        <v>3073</v>
      </c>
      <c r="K1085" s="3" t="s">
        <v>4158</v>
      </c>
      <c r="L1085" s="3">
        <v>3</v>
      </c>
      <c r="M1085" s="10" t="s">
        <v>4275</v>
      </c>
      <c r="N1085" s="3" t="s">
        <v>4280</v>
      </c>
      <c r="O1085" s="7">
        <v>123.28</v>
      </c>
      <c r="P1085" s="3">
        <f t="shared" si="27"/>
        <v>123.28</v>
      </c>
    </row>
    <row r="1086" spans="1:16" x14ac:dyDescent="0.35">
      <c r="A1086" t="s">
        <v>1098</v>
      </c>
      <c r="B1086" s="5">
        <v>44934</v>
      </c>
      <c r="C1086" t="s">
        <v>2290</v>
      </c>
      <c r="E1086" t="s">
        <v>2404</v>
      </c>
      <c r="F1086">
        <v>1</v>
      </c>
      <c r="G1086" s="7">
        <v>70.819999999999993</v>
      </c>
      <c r="H1086" s="3" t="s">
        <v>2445</v>
      </c>
      <c r="I1086" s="3" t="s">
        <v>3068</v>
      </c>
      <c r="J1086" s="3" t="s">
        <v>3074</v>
      </c>
      <c r="K1086" s="3" t="s">
        <v>4159</v>
      </c>
      <c r="L1086" s="3">
        <v>1</v>
      </c>
      <c r="M1086" s="10" t="s">
        <v>4277</v>
      </c>
      <c r="N1086" s="3" t="s">
        <v>4278</v>
      </c>
      <c r="O1086" s="7">
        <v>70.819999999999993</v>
      </c>
      <c r="P1086" s="3">
        <f t="shared" si="27"/>
        <v>70.819999999999993</v>
      </c>
    </row>
    <row r="1087" spans="1:16" x14ac:dyDescent="0.35">
      <c r="A1087" t="s">
        <v>1099</v>
      </c>
      <c r="B1087" s="5">
        <v>45067</v>
      </c>
      <c r="C1087" t="s">
        <v>2291</v>
      </c>
      <c r="E1087" t="s">
        <v>2407</v>
      </c>
      <c r="F1087">
        <v>2</v>
      </c>
      <c r="G1087" s="7">
        <v>646.69000000000005</v>
      </c>
      <c r="H1087" s="3" t="s">
        <v>2545</v>
      </c>
      <c r="I1087" s="3" t="s">
        <v>3065</v>
      </c>
      <c r="J1087" s="3" t="s">
        <v>3070</v>
      </c>
      <c r="K1087" s="3" t="s">
        <v>4160</v>
      </c>
      <c r="L1087" s="3">
        <v>7</v>
      </c>
      <c r="M1087" s="10" t="s">
        <v>4277</v>
      </c>
      <c r="N1087" s="3" t="s">
        <v>4278</v>
      </c>
      <c r="O1087" s="7">
        <v>1293.3800000000001</v>
      </c>
      <c r="P1087" s="3">
        <f t="shared" si="27"/>
        <v>1293.3800000000001</v>
      </c>
    </row>
    <row r="1088" spans="1:16" x14ac:dyDescent="0.35">
      <c r="A1088" t="s">
        <v>1100</v>
      </c>
      <c r="B1088" s="5">
        <v>45283</v>
      </c>
      <c r="C1088" t="s">
        <v>2292</v>
      </c>
      <c r="E1088" t="s">
        <v>2405</v>
      </c>
      <c r="F1088">
        <v>2</v>
      </c>
      <c r="G1088" s="7">
        <v>513.41999999999996</v>
      </c>
      <c r="H1088" s="3" t="s">
        <v>3023</v>
      </c>
      <c r="I1088" s="3" t="s">
        <v>3066</v>
      </c>
      <c r="J1088" s="3" t="s">
        <v>3074</v>
      </c>
      <c r="K1088" s="3" t="s">
        <v>4161</v>
      </c>
      <c r="L1088" s="3">
        <v>5</v>
      </c>
      <c r="M1088" s="10" t="s">
        <v>4277</v>
      </c>
      <c r="N1088" s="3" t="s">
        <v>4278</v>
      </c>
      <c r="O1088" s="7">
        <v>1026.8399999999999</v>
      </c>
      <c r="P1088" s="3">
        <f t="shared" si="27"/>
        <v>1026.8399999999999</v>
      </c>
    </row>
    <row r="1089" spans="1:16" x14ac:dyDescent="0.35">
      <c r="A1089" t="s">
        <v>1101</v>
      </c>
      <c r="B1089" s="5">
        <v>45739</v>
      </c>
      <c r="C1089" t="s">
        <v>2293</v>
      </c>
      <c r="E1089" t="s">
        <v>2408</v>
      </c>
      <c r="F1089">
        <v>4</v>
      </c>
      <c r="G1089" s="7">
        <v>693.07</v>
      </c>
      <c r="H1089" s="3" t="s">
        <v>3024</v>
      </c>
      <c r="I1089" s="3" t="s">
        <v>3066</v>
      </c>
      <c r="J1089" s="3" t="s">
        <v>3070</v>
      </c>
      <c r="K1089" s="3" t="s">
        <v>4162</v>
      </c>
      <c r="L1089" s="3">
        <v>8</v>
      </c>
      <c r="M1089" s="10" t="s">
        <v>4275</v>
      </c>
      <c r="N1089" s="3" t="s">
        <v>4278</v>
      </c>
      <c r="O1089" s="7">
        <v>2772.28</v>
      </c>
      <c r="P1089" s="3">
        <f t="shared" si="27"/>
        <v>2772.28</v>
      </c>
    </row>
    <row r="1090" spans="1:16" x14ac:dyDescent="0.35">
      <c r="A1090" t="s">
        <v>1102</v>
      </c>
      <c r="B1090" s="5">
        <v>45260</v>
      </c>
      <c r="C1090" t="s">
        <v>2294</v>
      </c>
      <c r="E1090" t="s">
        <v>2409</v>
      </c>
      <c r="F1090">
        <v>3</v>
      </c>
      <c r="G1090" s="7">
        <v>491.43</v>
      </c>
      <c r="H1090" s="3" t="s">
        <v>3025</v>
      </c>
      <c r="I1090" s="3" t="s">
        <v>3068</v>
      </c>
      <c r="J1090" s="3" t="s">
        <v>3070</v>
      </c>
      <c r="K1090" s="3" t="s">
        <v>4163</v>
      </c>
      <c r="L1090" s="3">
        <v>6</v>
      </c>
      <c r="M1090" s="10" t="s">
        <v>4277</v>
      </c>
      <c r="N1090" s="3" t="s">
        <v>4278</v>
      </c>
      <c r="O1090" s="7">
        <v>1474.29</v>
      </c>
      <c r="P1090" s="3">
        <f t="shared" si="27"/>
        <v>1474.29</v>
      </c>
    </row>
    <row r="1091" spans="1:16" x14ac:dyDescent="0.35">
      <c r="A1091" t="s">
        <v>1103</v>
      </c>
      <c r="B1091" s="5">
        <v>45731</v>
      </c>
      <c r="C1091" t="s">
        <v>2295</v>
      </c>
      <c r="E1091" t="s">
        <v>2405</v>
      </c>
      <c r="F1091">
        <v>2</v>
      </c>
      <c r="G1091" s="7">
        <v>599.74</v>
      </c>
      <c r="H1091" s="3" t="s">
        <v>2473</v>
      </c>
      <c r="I1091" s="3" t="s">
        <v>3068</v>
      </c>
      <c r="J1091" s="3" t="s">
        <v>3070</v>
      </c>
      <c r="K1091" s="3" t="s">
        <v>4164</v>
      </c>
      <c r="L1091" s="3">
        <v>2</v>
      </c>
      <c r="N1091" s="3" t="s">
        <v>4278</v>
      </c>
      <c r="O1091" s="7">
        <v>1199.48</v>
      </c>
      <c r="P1091" s="3">
        <f t="shared" ref="P1091:P1154" si="28">G1091*F1091</f>
        <v>1199.48</v>
      </c>
    </row>
    <row r="1092" spans="1:16" x14ac:dyDescent="0.35">
      <c r="A1092" t="s">
        <v>1104</v>
      </c>
      <c r="B1092" s="5">
        <v>44982</v>
      </c>
      <c r="C1092" t="s">
        <v>2296</v>
      </c>
      <c r="E1092" t="s">
        <v>2403</v>
      </c>
      <c r="F1092">
        <v>2</v>
      </c>
      <c r="G1092" s="7">
        <v>650.25</v>
      </c>
      <c r="H1092" s="3" t="s">
        <v>2441</v>
      </c>
      <c r="I1092" s="3" t="s">
        <v>3068</v>
      </c>
      <c r="J1092" s="3" t="s">
        <v>3072</v>
      </c>
      <c r="K1092" s="3" t="s">
        <v>4165</v>
      </c>
      <c r="L1092" s="3">
        <v>6</v>
      </c>
      <c r="N1092" s="3" t="s">
        <v>4278</v>
      </c>
      <c r="O1092" s="7">
        <v>1300.5</v>
      </c>
      <c r="P1092" s="3">
        <f t="shared" si="28"/>
        <v>1300.5</v>
      </c>
    </row>
    <row r="1093" spans="1:16" x14ac:dyDescent="0.35">
      <c r="A1093" t="s">
        <v>1105</v>
      </c>
      <c r="B1093" s="5">
        <v>45573</v>
      </c>
      <c r="C1093" t="s">
        <v>2297</v>
      </c>
      <c r="E1093" t="s">
        <v>2408</v>
      </c>
      <c r="F1093">
        <v>3</v>
      </c>
      <c r="G1093" s="7">
        <v>209.48</v>
      </c>
      <c r="H1093" s="3" t="s">
        <v>2739</v>
      </c>
      <c r="I1093" s="3" t="s">
        <v>3065</v>
      </c>
      <c r="J1093" s="3" t="s">
        <v>3074</v>
      </c>
      <c r="K1093" s="3" t="s">
        <v>4166</v>
      </c>
      <c r="L1093" s="3">
        <v>4</v>
      </c>
      <c r="N1093" s="3" t="s">
        <v>4280</v>
      </c>
      <c r="O1093" s="7">
        <v>628.43999999999994</v>
      </c>
      <c r="P1093" s="3">
        <f t="shared" si="28"/>
        <v>628.43999999999994</v>
      </c>
    </row>
    <row r="1094" spans="1:16" x14ac:dyDescent="0.35">
      <c r="A1094" t="s">
        <v>1106</v>
      </c>
      <c r="B1094" s="5">
        <v>45159</v>
      </c>
      <c r="C1094" t="s">
        <v>2298</v>
      </c>
      <c r="E1094" t="s">
        <v>2408</v>
      </c>
      <c r="F1094">
        <v>5</v>
      </c>
      <c r="G1094" s="7">
        <v>209.2</v>
      </c>
      <c r="H1094" s="3" t="s">
        <v>2439</v>
      </c>
      <c r="I1094" s="3" t="s">
        <v>3065</v>
      </c>
      <c r="J1094" s="3" t="s">
        <v>3073</v>
      </c>
      <c r="K1094" s="3" t="s">
        <v>4167</v>
      </c>
      <c r="L1094" s="3">
        <v>6</v>
      </c>
      <c r="M1094" s="10" t="s">
        <v>4277</v>
      </c>
      <c r="N1094" s="3" t="s">
        <v>4280</v>
      </c>
      <c r="O1094" s="7">
        <v>1046</v>
      </c>
      <c r="P1094" s="3">
        <f t="shared" si="28"/>
        <v>1046</v>
      </c>
    </row>
    <row r="1095" spans="1:16" x14ac:dyDescent="0.35">
      <c r="A1095" t="s">
        <v>1107</v>
      </c>
      <c r="B1095" s="5">
        <v>45086</v>
      </c>
      <c r="C1095" t="s">
        <v>2299</v>
      </c>
      <c r="E1095" t="s">
        <v>2404</v>
      </c>
      <c r="F1095">
        <v>4</v>
      </c>
      <c r="G1095" s="7">
        <v>197.36</v>
      </c>
      <c r="H1095" s="3" t="s">
        <v>3026</v>
      </c>
      <c r="I1095" s="3" t="s">
        <v>3068</v>
      </c>
      <c r="J1095" s="3" t="s">
        <v>3072</v>
      </c>
      <c r="K1095" s="3" t="s">
        <v>4168</v>
      </c>
      <c r="L1095" s="3">
        <v>9</v>
      </c>
      <c r="M1095" s="10" t="s">
        <v>4276</v>
      </c>
      <c r="N1095" s="3" t="s">
        <v>4278</v>
      </c>
      <c r="O1095" s="7">
        <v>789.44</v>
      </c>
      <c r="P1095" s="3">
        <f t="shared" si="28"/>
        <v>789.44</v>
      </c>
    </row>
    <row r="1096" spans="1:16" x14ac:dyDescent="0.35">
      <c r="A1096" t="s">
        <v>1108</v>
      </c>
      <c r="B1096" s="5">
        <v>45105</v>
      </c>
      <c r="C1096" t="s">
        <v>2300</v>
      </c>
      <c r="E1096" t="s">
        <v>2407</v>
      </c>
      <c r="F1096">
        <v>4</v>
      </c>
      <c r="G1096" s="7">
        <v>648.91</v>
      </c>
      <c r="H1096" s="3" t="s">
        <v>3027</v>
      </c>
      <c r="I1096" s="3" t="s">
        <v>3067</v>
      </c>
      <c r="J1096" s="3" t="s">
        <v>3070</v>
      </c>
      <c r="K1096" s="3" t="s">
        <v>4169</v>
      </c>
      <c r="L1096" s="3">
        <v>6</v>
      </c>
      <c r="M1096" s="10" t="s">
        <v>4275</v>
      </c>
      <c r="N1096" s="3" t="s">
        <v>4278</v>
      </c>
      <c r="O1096" s="7">
        <v>2595.64</v>
      </c>
      <c r="P1096" s="3">
        <f t="shared" si="28"/>
        <v>2595.64</v>
      </c>
    </row>
    <row r="1097" spans="1:16" x14ac:dyDescent="0.35">
      <c r="A1097" t="s">
        <v>1109</v>
      </c>
      <c r="B1097" s="5">
        <v>45405</v>
      </c>
      <c r="C1097" t="s">
        <v>2301</v>
      </c>
      <c r="E1097" t="s">
        <v>2404</v>
      </c>
      <c r="F1097">
        <v>2</v>
      </c>
      <c r="G1097" s="7">
        <v>441.54</v>
      </c>
      <c r="H1097" s="3" t="s">
        <v>3028</v>
      </c>
      <c r="I1097" s="3" t="s">
        <v>3066</v>
      </c>
      <c r="J1097" s="3" t="s">
        <v>3073</v>
      </c>
      <c r="K1097" s="3" t="s">
        <v>4170</v>
      </c>
      <c r="L1097" s="3">
        <v>2</v>
      </c>
      <c r="M1097" s="10" t="s">
        <v>4275</v>
      </c>
      <c r="N1097" s="3" t="s">
        <v>4280</v>
      </c>
      <c r="O1097" s="7">
        <v>883.08</v>
      </c>
      <c r="P1097" s="3">
        <f t="shared" si="28"/>
        <v>883.08</v>
      </c>
    </row>
    <row r="1098" spans="1:16" x14ac:dyDescent="0.35">
      <c r="A1098" t="s">
        <v>1110</v>
      </c>
      <c r="B1098" s="5">
        <v>45780</v>
      </c>
      <c r="C1098" t="s">
        <v>2302</v>
      </c>
      <c r="E1098" t="s">
        <v>2405</v>
      </c>
      <c r="F1098">
        <v>2</v>
      </c>
      <c r="G1098" s="7">
        <v>464.92</v>
      </c>
      <c r="H1098" s="3" t="s">
        <v>3029</v>
      </c>
      <c r="I1098" s="3" t="s">
        <v>3065</v>
      </c>
      <c r="J1098" s="3" t="s">
        <v>3072</v>
      </c>
      <c r="K1098" s="3" t="s">
        <v>4171</v>
      </c>
      <c r="L1098" s="3">
        <v>2</v>
      </c>
      <c r="N1098" s="3" t="s">
        <v>4281</v>
      </c>
      <c r="O1098" s="7">
        <v>929.84</v>
      </c>
      <c r="P1098" s="3">
        <f t="shared" si="28"/>
        <v>929.84</v>
      </c>
    </row>
    <row r="1099" spans="1:16" x14ac:dyDescent="0.35">
      <c r="A1099" t="s">
        <v>1111</v>
      </c>
      <c r="B1099" s="5">
        <v>45652</v>
      </c>
      <c r="C1099" t="s">
        <v>2303</v>
      </c>
      <c r="E1099" t="s">
        <v>2403</v>
      </c>
      <c r="F1099">
        <v>5</v>
      </c>
      <c r="G1099" s="7">
        <v>506.45</v>
      </c>
      <c r="H1099" s="3" t="s">
        <v>3030</v>
      </c>
      <c r="I1099" s="3" t="s">
        <v>3068</v>
      </c>
      <c r="J1099" s="3" t="s">
        <v>3070</v>
      </c>
      <c r="K1099" s="3" t="s">
        <v>4172</v>
      </c>
      <c r="L1099" s="3">
        <v>7</v>
      </c>
      <c r="M1099" s="10" t="s">
        <v>4277</v>
      </c>
      <c r="N1099" s="3" t="s">
        <v>4282</v>
      </c>
      <c r="O1099" s="7">
        <v>2532.25</v>
      </c>
      <c r="P1099" s="3">
        <f t="shared" si="28"/>
        <v>2532.25</v>
      </c>
    </row>
    <row r="1100" spans="1:16" x14ac:dyDescent="0.35">
      <c r="A1100" t="s">
        <v>1112</v>
      </c>
      <c r="B1100" s="5">
        <v>45094</v>
      </c>
      <c r="C1100" t="s">
        <v>2304</v>
      </c>
      <c r="E1100" t="s">
        <v>2403</v>
      </c>
      <c r="F1100">
        <v>4</v>
      </c>
      <c r="G1100" s="7">
        <v>255.86</v>
      </c>
      <c r="H1100" s="3" t="s">
        <v>3031</v>
      </c>
      <c r="I1100" s="3" t="s">
        <v>3067</v>
      </c>
      <c r="J1100" s="3" t="s">
        <v>3073</v>
      </c>
      <c r="K1100" s="3" t="s">
        <v>4173</v>
      </c>
      <c r="L1100" s="3">
        <v>7</v>
      </c>
      <c r="N1100" s="3" t="s">
        <v>4280</v>
      </c>
      <c r="O1100" s="7">
        <v>1023.44</v>
      </c>
      <c r="P1100" s="3">
        <f t="shared" si="28"/>
        <v>1023.44</v>
      </c>
    </row>
    <row r="1101" spans="1:16" x14ac:dyDescent="0.35">
      <c r="A1101" t="s">
        <v>1113</v>
      </c>
      <c r="B1101" s="5">
        <v>45554</v>
      </c>
      <c r="C1101" t="s">
        <v>2305</v>
      </c>
      <c r="E1101" t="s">
        <v>2408</v>
      </c>
      <c r="F1101">
        <v>2</v>
      </c>
      <c r="G1101" s="7">
        <v>125.23</v>
      </c>
      <c r="H1101" s="3" t="s">
        <v>2724</v>
      </c>
      <c r="I1101" s="3" t="s">
        <v>3069</v>
      </c>
      <c r="J1101" s="3" t="s">
        <v>3071</v>
      </c>
      <c r="K1101" s="3" t="s">
        <v>4174</v>
      </c>
      <c r="L1101" s="3">
        <v>3</v>
      </c>
      <c r="M1101" s="10" t="s">
        <v>4276</v>
      </c>
      <c r="N1101" s="3" t="s">
        <v>4280</v>
      </c>
      <c r="O1101" s="7">
        <v>250.46</v>
      </c>
      <c r="P1101" s="3">
        <f t="shared" si="28"/>
        <v>250.46</v>
      </c>
    </row>
    <row r="1102" spans="1:16" x14ac:dyDescent="0.35">
      <c r="A1102" t="s">
        <v>1114</v>
      </c>
      <c r="B1102" s="5">
        <v>45155</v>
      </c>
      <c r="C1102" t="s">
        <v>2306</v>
      </c>
      <c r="E1102" t="s">
        <v>2408</v>
      </c>
      <c r="F1102">
        <v>5</v>
      </c>
      <c r="G1102" s="7">
        <v>38.11</v>
      </c>
      <c r="H1102" s="3" t="s">
        <v>3032</v>
      </c>
      <c r="I1102" s="3" t="s">
        <v>3065</v>
      </c>
      <c r="J1102" s="3" t="s">
        <v>3071</v>
      </c>
      <c r="K1102" s="3" t="s">
        <v>4175</v>
      </c>
      <c r="L1102" s="3">
        <v>6</v>
      </c>
      <c r="M1102" s="10" t="s">
        <v>4277</v>
      </c>
      <c r="N1102" s="3" t="s">
        <v>4278</v>
      </c>
      <c r="O1102" s="7">
        <v>190.55</v>
      </c>
      <c r="P1102" s="3">
        <f t="shared" si="28"/>
        <v>190.55</v>
      </c>
    </row>
    <row r="1103" spans="1:16" x14ac:dyDescent="0.35">
      <c r="A1103" t="s">
        <v>1115</v>
      </c>
      <c r="B1103" s="5">
        <v>45816</v>
      </c>
      <c r="C1103" t="s">
        <v>2307</v>
      </c>
      <c r="E1103" t="s">
        <v>2403</v>
      </c>
      <c r="F1103">
        <v>3</v>
      </c>
      <c r="G1103" s="7">
        <v>161.97</v>
      </c>
      <c r="H1103" s="3" t="s">
        <v>2418</v>
      </c>
      <c r="I1103" s="3" t="s">
        <v>3069</v>
      </c>
      <c r="J1103" s="3" t="s">
        <v>3074</v>
      </c>
      <c r="K1103" s="3" t="s">
        <v>4176</v>
      </c>
      <c r="L1103" s="3">
        <v>4</v>
      </c>
      <c r="M1103" s="10" t="s">
        <v>4275</v>
      </c>
      <c r="N1103" s="3" t="s">
        <v>4280</v>
      </c>
      <c r="O1103" s="7">
        <v>485.91</v>
      </c>
      <c r="P1103" s="3">
        <f t="shared" si="28"/>
        <v>485.90999999999997</v>
      </c>
    </row>
    <row r="1104" spans="1:16" x14ac:dyDescent="0.35">
      <c r="A1104" t="s">
        <v>1116</v>
      </c>
      <c r="B1104" s="5">
        <v>45446</v>
      </c>
      <c r="C1104" t="s">
        <v>1228</v>
      </c>
      <c r="E1104" t="s">
        <v>2406</v>
      </c>
      <c r="F1104">
        <v>4</v>
      </c>
      <c r="G1104" s="7">
        <v>347.17</v>
      </c>
      <c r="H1104" s="3" t="s">
        <v>2904</v>
      </c>
      <c r="I1104" s="3" t="s">
        <v>3065</v>
      </c>
      <c r="J1104" s="3" t="s">
        <v>3070</v>
      </c>
      <c r="K1104" s="3" t="s">
        <v>4177</v>
      </c>
      <c r="L1104" s="3">
        <v>8</v>
      </c>
      <c r="N1104" s="3" t="s">
        <v>4278</v>
      </c>
      <c r="O1104" s="7">
        <v>1388.68</v>
      </c>
      <c r="P1104" s="3">
        <f t="shared" si="28"/>
        <v>1388.68</v>
      </c>
    </row>
    <row r="1105" spans="1:16" x14ac:dyDescent="0.35">
      <c r="A1105" t="s">
        <v>1117</v>
      </c>
      <c r="B1105" s="5">
        <v>45040</v>
      </c>
      <c r="C1105" t="s">
        <v>2308</v>
      </c>
      <c r="E1105" t="s">
        <v>2408</v>
      </c>
      <c r="F1105">
        <v>4</v>
      </c>
      <c r="G1105" s="7">
        <v>276.32</v>
      </c>
      <c r="H1105" s="3" t="s">
        <v>2477</v>
      </c>
      <c r="I1105" s="3" t="s">
        <v>3066</v>
      </c>
      <c r="J1105" s="3" t="s">
        <v>3073</v>
      </c>
      <c r="K1105" s="3" t="s">
        <v>4178</v>
      </c>
      <c r="L1105" s="3">
        <v>5</v>
      </c>
      <c r="N1105" s="3" t="s">
        <v>4282</v>
      </c>
      <c r="O1105" s="7">
        <v>1105.28</v>
      </c>
      <c r="P1105" s="3">
        <f t="shared" si="28"/>
        <v>1105.28</v>
      </c>
    </row>
    <row r="1106" spans="1:16" x14ac:dyDescent="0.35">
      <c r="A1106" t="s">
        <v>1118</v>
      </c>
      <c r="B1106" s="5">
        <v>45498</v>
      </c>
      <c r="C1106" t="s">
        <v>2309</v>
      </c>
      <c r="E1106" t="s">
        <v>2405</v>
      </c>
      <c r="F1106">
        <v>4</v>
      </c>
      <c r="G1106" s="7">
        <v>314.76</v>
      </c>
      <c r="H1106" s="3" t="s">
        <v>3033</v>
      </c>
      <c r="I1106" s="3" t="s">
        <v>3066</v>
      </c>
      <c r="J1106" s="3" t="s">
        <v>3070</v>
      </c>
      <c r="K1106" s="3" t="s">
        <v>4179</v>
      </c>
      <c r="L1106" s="3">
        <v>8</v>
      </c>
      <c r="N1106" s="3" t="s">
        <v>4278</v>
      </c>
      <c r="O1106" s="7">
        <v>1259.04</v>
      </c>
      <c r="P1106" s="3">
        <f t="shared" si="28"/>
        <v>1259.04</v>
      </c>
    </row>
    <row r="1107" spans="1:16" x14ac:dyDescent="0.35">
      <c r="A1107" t="s">
        <v>1119</v>
      </c>
      <c r="B1107" s="5">
        <v>45299</v>
      </c>
      <c r="C1107" t="s">
        <v>2310</v>
      </c>
      <c r="E1107" t="s">
        <v>2405</v>
      </c>
      <c r="F1107">
        <v>3</v>
      </c>
      <c r="G1107" s="7">
        <v>475.69</v>
      </c>
      <c r="H1107" s="3" t="s">
        <v>2644</v>
      </c>
      <c r="I1107" s="3" t="s">
        <v>3068</v>
      </c>
      <c r="J1107" s="3" t="s">
        <v>3071</v>
      </c>
      <c r="K1107" s="3" t="s">
        <v>4180</v>
      </c>
      <c r="L1107" s="3">
        <v>3</v>
      </c>
      <c r="M1107" s="10" t="s">
        <v>4276</v>
      </c>
      <c r="N1107" s="3" t="s">
        <v>4282</v>
      </c>
      <c r="O1107" s="7">
        <v>1427.07</v>
      </c>
      <c r="P1107" s="3">
        <f t="shared" si="28"/>
        <v>1427.07</v>
      </c>
    </row>
    <row r="1108" spans="1:16" x14ac:dyDescent="0.35">
      <c r="A1108" t="s">
        <v>1120</v>
      </c>
      <c r="B1108" s="5">
        <v>44997</v>
      </c>
      <c r="C1108" t="s">
        <v>2311</v>
      </c>
      <c r="E1108" t="s">
        <v>2406</v>
      </c>
      <c r="F1108">
        <v>1</v>
      </c>
      <c r="G1108" s="7">
        <v>372.8</v>
      </c>
      <c r="H1108" s="3" t="s">
        <v>2423</v>
      </c>
      <c r="I1108" s="3" t="s">
        <v>3069</v>
      </c>
      <c r="J1108" s="3" t="s">
        <v>3071</v>
      </c>
      <c r="K1108" s="3" t="s">
        <v>4181</v>
      </c>
      <c r="L1108" s="3">
        <v>6</v>
      </c>
      <c r="M1108" s="10" t="s">
        <v>4275</v>
      </c>
      <c r="N1108" s="3" t="s">
        <v>4281</v>
      </c>
      <c r="O1108" s="7">
        <v>372.8</v>
      </c>
      <c r="P1108" s="3">
        <f t="shared" si="28"/>
        <v>372.8</v>
      </c>
    </row>
    <row r="1109" spans="1:16" x14ac:dyDescent="0.35">
      <c r="A1109" t="s">
        <v>1121</v>
      </c>
      <c r="B1109" s="5">
        <v>45838</v>
      </c>
      <c r="C1109" t="s">
        <v>2312</v>
      </c>
      <c r="E1109" t="s">
        <v>2405</v>
      </c>
      <c r="F1109">
        <v>2</v>
      </c>
      <c r="G1109" s="7">
        <v>63.21</v>
      </c>
      <c r="H1109" s="3" t="s">
        <v>2839</v>
      </c>
      <c r="I1109" s="3" t="s">
        <v>3066</v>
      </c>
      <c r="J1109" s="3" t="s">
        <v>3071</v>
      </c>
      <c r="K1109" s="3" t="s">
        <v>4182</v>
      </c>
      <c r="L1109" s="3">
        <v>4</v>
      </c>
      <c r="M1109" s="10" t="s">
        <v>4275</v>
      </c>
      <c r="N1109" s="3" t="s">
        <v>4282</v>
      </c>
      <c r="O1109" s="7">
        <v>126.42</v>
      </c>
      <c r="P1109" s="3">
        <f t="shared" si="28"/>
        <v>126.42</v>
      </c>
    </row>
    <row r="1110" spans="1:16" x14ac:dyDescent="0.35">
      <c r="A1110" t="s">
        <v>1122</v>
      </c>
      <c r="B1110" s="5">
        <v>45005</v>
      </c>
      <c r="C1110" t="s">
        <v>2313</v>
      </c>
      <c r="E1110" t="s">
        <v>2408</v>
      </c>
      <c r="F1110">
        <v>1</v>
      </c>
      <c r="G1110" s="7">
        <v>634.94000000000005</v>
      </c>
      <c r="H1110" s="3" t="s">
        <v>3034</v>
      </c>
      <c r="I1110" s="3" t="s">
        <v>3066</v>
      </c>
      <c r="J1110" s="3" t="s">
        <v>3071</v>
      </c>
      <c r="K1110" s="3" t="s">
        <v>4183</v>
      </c>
      <c r="L1110" s="3">
        <v>5</v>
      </c>
      <c r="M1110" s="10" t="s">
        <v>4277</v>
      </c>
      <c r="N1110" s="3" t="s">
        <v>4278</v>
      </c>
      <c r="O1110" s="7">
        <v>634.94000000000005</v>
      </c>
      <c r="P1110" s="3">
        <f t="shared" si="28"/>
        <v>634.94000000000005</v>
      </c>
    </row>
    <row r="1111" spans="1:16" x14ac:dyDescent="0.35">
      <c r="A1111" t="s">
        <v>1123</v>
      </c>
      <c r="B1111" s="5">
        <v>45390</v>
      </c>
      <c r="C1111" t="s">
        <v>2314</v>
      </c>
      <c r="E1111" t="s">
        <v>2407</v>
      </c>
      <c r="F1111">
        <v>4</v>
      </c>
      <c r="G1111" s="7">
        <v>77.47</v>
      </c>
      <c r="H1111" s="3" t="s">
        <v>2768</v>
      </c>
      <c r="I1111" s="3" t="s">
        <v>3068</v>
      </c>
      <c r="J1111" s="3" t="s">
        <v>3072</v>
      </c>
      <c r="K1111" s="3" t="s">
        <v>4184</v>
      </c>
      <c r="L1111" s="3">
        <v>7</v>
      </c>
      <c r="M1111" s="10" t="s">
        <v>4275</v>
      </c>
      <c r="N1111" s="3" t="s">
        <v>4278</v>
      </c>
      <c r="O1111" s="7">
        <v>309.88</v>
      </c>
      <c r="P1111" s="3">
        <f t="shared" si="28"/>
        <v>309.88</v>
      </c>
    </row>
    <row r="1112" spans="1:16" x14ac:dyDescent="0.35">
      <c r="A1112" t="s">
        <v>1124</v>
      </c>
      <c r="B1112" s="5">
        <v>45347</v>
      </c>
      <c r="C1112" t="s">
        <v>2315</v>
      </c>
      <c r="E1112" t="s">
        <v>2406</v>
      </c>
      <c r="F1112">
        <v>3</v>
      </c>
      <c r="G1112" s="7">
        <v>84.31</v>
      </c>
      <c r="H1112" s="3" t="s">
        <v>2443</v>
      </c>
      <c r="I1112" s="3" t="s">
        <v>3067</v>
      </c>
      <c r="J1112" s="3" t="s">
        <v>3070</v>
      </c>
      <c r="K1112" s="3" t="s">
        <v>4185</v>
      </c>
      <c r="L1112" s="3">
        <v>3</v>
      </c>
      <c r="M1112" s="10" t="s">
        <v>4275</v>
      </c>
      <c r="N1112" s="3" t="s">
        <v>4280</v>
      </c>
      <c r="O1112" s="7">
        <v>252.93</v>
      </c>
      <c r="P1112" s="3">
        <f t="shared" si="28"/>
        <v>252.93</v>
      </c>
    </row>
    <row r="1113" spans="1:16" x14ac:dyDescent="0.35">
      <c r="A1113" t="s">
        <v>1125</v>
      </c>
      <c r="B1113" s="5">
        <v>45052</v>
      </c>
      <c r="C1113" t="s">
        <v>2316</v>
      </c>
      <c r="E1113" t="s">
        <v>2403</v>
      </c>
      <c r="F1113">
        <v>4</v>
      </c>
      <c r="G1113" s="7">
        <v>234.45</v>
      </c>
      <c r="H1113" s="3" t="s">
        <v>3035</v>
      </c>
      <c r="I1113" s="3" t="s">
        <v>3066</v>
      </c>
      <c r="J1113" s="3" t="s">
        <v>3071</v>
      </c>
      <c r="K1113" s="3" t="s">
        <v>4186</v>
      </c>
      <c r="L1113" s="3">
        <v>9</v>
      </c>
      <c r="M1113" s="10" t="s">
        <v>4276</v>
      </c>
      <c r="N1113" s="3" t="s">
        <v>4278</v>
      </c>
      <c r="O1113" s="7">
        <v>937.8</v>
      </c>
      <c r="P1113" s="3">
        <f t="shared" si="28"/>
        <v>937.8</v>
      </c>
    </row>
    <row r="1114" spans="1:16" x14ac:dyDescent="0.35">
      <c r="A1114" t="s">
        <v>1126</v>
      </c>
      <c r="B1114" s="5">
        <v>45212</v>
      </c>
      <c r="C1114" t="s">
        <v>2317</v>
      </c>
      <c r="E1114" t="s">
        <v>2409</v>
      </c>
      <c r="F1114">
        <v>1</v>
      </c>
      <c r="G1114" s="7">
        <v>356.81</v>
      </c>
      <c r="H1114" s="3" t="s">
        <v>2526</v>
      </c>
      <c r="I1114" s="3" t="s">
        <v>3066</v>
      </c>
      <c r="J1114" s="3" t="s">
        <v>3073</v>
      </c>
      <c r="K1114" s="3" t="s">
        <v>4187</v>
      </c>
      <c r="L1114" s="3">
        <v>1</v>
      </c>
      <c r="M1114" s="10" t="s">
        <v>4277</v>
      </c>
      <c r="N1114" s="3" t="s">
        <v>4278</v>
      </c>
      <c r="O1114" s="7">
        <v>356.81</v>
      </c>
      <c r="P1114" s="3">
        <f t="shared" si="28"/>
        <v>356.81</v>
      </c>
    </row>
    <row r="1115" spans="1:16" x14ac:dyDescent="0.35">
      <c r="A1115" t="s">
        <v>1127</v>
      </c>
      <c r="B1115" s="5">
        <v>45004</v>
      </c>
      <c r="C1115" t="s">
        <v>2318</v>
      </c>
      <c r="E1115" t="s">
        <v>2409</v>
      </c>
      <c r="F1115">
        <v>4</v>
      </c>
      <c r="G1115" s="7">
        <v>209.99</v>
      </c>
      <c r="H1115" s="3" t="s">
        <v>2982</v>
      </c>
      <c r="I1115" s="3" t="s">
        <v>3069</v>
      </c>
      <c r="J1115" s="3" t="s">
        <v>3073</v>
      </c>
      <c r="K1115" s="3" t="s">
        <v>4188</v>
      </c>
      <c r="L1115" s="3">
        <v>8</v>
      </c>
      <c r="N1115" s="3" t="s">
        <v>4282</v>
      </c>
      <c r="O1115" s="7">
        <v>839.96</v>
      </c>
      <c r="P1115" s="3">
        <f t="shared" si="28"/>
        <v>839.96</v>
      </c>
    </row>
    <row r="1116" spans="1:16" x14ac:dyDescent="0.35">
      <c r="A1116" t="s">
        <v>1128</v>
      </c>
      <c r="B1116" s="5">
        <v>45001</v>
      </c>
      <c r="C1116" t="s">
        <v>2319</v>
      </c>
      <c r="E1116" t="s">
        <v>2405</v>
      </c>
      <c r="F1116">
        <v>3</v>
      </c>
      <c r="G1116" s="7">
        <v>659.88</v>
      </c>
      <c r="H1116" s="3" t="s">
        <v>2591</v>
      </c>
      <c r="I1116" s="3" t="s">
        <v>3068</v>
      </c>
      <c r="J1116" s="3" t="s">
        <v>3071</v>
      </c>
      <c r="K1116" s="3" t="s">
        <v>4189</v>
      </c>
      <c r="L1116" s="3">
        <v>3</v>
      </c>
      <c r="N1116" s="3" t="s">
        <v>4282</v>
      </c>
      <c r="O1116" s="7">
        <v>1979.64</v>
      </c>
      <c r="P1116" s="3">
        <f t="shared" si="28"/>
        <v>1979.6399999999999</v>
      </c>
    </row>
    <row r="1117" spans="1:16" x14ac:dyDescent="0.35">
      <c r="A1117" t="s">
        <v>1129</v>
      </c>
      <c r="B1117" s="5">
        <v>45828</v>
      </c>
      <c r="C1117" t="s">
        <v>2320</v>
      </c>
      <c r="E1117" t="s">
        <v>2408</v>
      </c>
      <c r="F1117">
        <v>2</v>
      </c>
      <c r="G1117" s="7">
        <v>336.32</v>
      </c>
      <c r="H1117" s="3" t="s">
        <v>2613</v>
      </c>
      <c r="I1117" s="3" t="s">
        <v>3066</v>
      </c>
      <c r="J1117" s="3" t="s">
        <v>3072</v>
      </c>
      <c r="K1117" s="3" t="s">
        <v>4190</v>
      </c>
      <c r="L1117" s="3">
        <v>3</v>
      </c>
      <c r="N1117" s="3" t="s">
        <v>4282</v>
      </c>
      <c r="O1117" s="7">
        <v>672.64</v>
      </c>
      <c r="P1117" s="3">
        <f t="shared" si="28"/>
        <v>672.64</v>
      </c>
    </row>
    <row r="1118" spans="1:16" x14ac:dyDescent="0.35">
      <c r="A1118" t="s">
        <v>1130</v>
      </c>
      <c r="B1118" s="5">
        <v>45213</v>
      </c>
      <c r="C1118" t="s">
        <v>2321</v>
      </c>
      <c r="E1118" t="s">
        <v>2407</v>
      </c>
      <c r="F1118">
        <v>2</v>
      </c>
      <c r="G1118" s="7">
        <v>531.49</v>
      </c>
      <c r="H1118" s="3" t="s">
        <v>2613</v>
      </c>
      <c r="I1118" s="3" t="s">
        <v>3067</v>
      </c>
      <c r="J1118" s="3" t="s">
        <v>3073</v>
      </c>
      <c r="K1118" s="3" t="s">
        <v>4191</v>
      </c>
      <c r="L1118" s="3">
        <v>7</v>
      </c>
      <c r="M1118" s="10" t="s">
        <v>4277</v>
      </c>
      <c r="N1118" s="3" t="s">
        <v>4281</v>
      </c>
      <c r="O1118" s="7">
        <v>1062.98</v>
      </c>
      <c r="P1118" s="3">
        <f t="shared" si="28"/>
        <v>1062.98</v>
      </c>
    </row>
    <row r="1119" spans="1:16" x14ac:dyDescent="0.35">
      <c r="A1119" t="s">
        <v>1131</v>
      </c>
      <c r="B1119" s="5">
        <v>45432</v>
      </c>
      <c r="C1119" t="s">
        <v>2322</v>
      </c>
      <c r="E1119" t="s">
        <v>2406</v>
      </c>
      <c r="F1119">
        <v>3</v>
      </c>
      <c r="G1119" s="7">
        <v>588.44000000000005</v>
      </c>
      <c r="H1119" s="3" t="s">
        <v>2734</v>
      </c>
      <c r="I1119" s="3" t="s">
        <v>3068</v>
      </c>
      <c r="J1119" s="3" t="s">
        <v>3070</v>
      </c>
      <c r="K1119" s="3" t="s">
        <v>4192</v>
      </c>
      <c r="L1119" s="3">
        <v>8</v>
      </c>
      <c r="M1119" s="10" t="s">
        <v>4277</v>
      </c>
      <c r="N1119" s="3" t="s">
        <v>4282</v>
      </c>
      <c r="O1119" s="7">
        <v>1765.32</v>
      </c>
      <c r="P1119" s="3">
        <f t="shared" si="28"/>
        <v>1765.3200000000002</v>
      </c>
    </row>
    <row r="1120" spans="1:16" x14ac:dyDescent="0.35">
      <c r="A1120" t="s">
        <v>1132</v>
      </c>
      <c r="B1120" s="5">
        <v>45436</v>
      </c>
      <c r="C1120" t="s">
        <v>2323</v>
      </c>
      <c r="E1120" t="s">
        <v>2404</v>
      </c>
      <c r="F1120">
        <v>3</v>
      </c>
      <c r="G1120" s="7">
        <v>251.48</v>
      </c>
      <c r="H1120" s="3" t="s">
        <v>2729</v>
      </c>
      <c r="I1120" s="3" t="s">
        <v>3067</v>
      </c>
      <c r="J1120" s="3" t="s">
        <v>3072</v>
      </c>
      <c r="K1120" s="3" t="s">
        <v>4193</v>
      </c>
      <c r="L1120" s="3">
        <v>4</v>
      </c>
      <c r="N1120" s="3" t="s">
        <v>4280</v>
      </c>
      <c r="O1120" s="7">
        <v>754.43999999999994</v>
      </c>
      <c r="P1120" s="3">
        <f t="shared" si="28"/>
        <v>754.43999999999994</v>
      </c>
    </row>
    <row r="1121" spans="1:16" x14ac:dyDescent="0.35">
      <c r="A1121" t="s">
        <v>1133</v>
      </c>
      <c r="B1121" s="5">
        <v>45620</v>
      </c>
      <c r="C1121" t="s">
        <v>2324</v>
      </c>
      <c r="E1121" t="s">
        <v>2408</v>
      </c>
      <c r="F1121">
        <v>1</v>
      </c>
      <c r="G1121" s="7">
        <v>684.65</v>
      </c>
      <c r="H1121" s="3" t="s">
        <v>2634</v>
      </c>
      <c r="I1121" s="3" t="s">
        <v>3067</v>
      </c>
      <c r="J1121" s="3" t="s">
        <v>3073</v>
      </c>
      <c r="K1121" s="3" t="s">
        <v>4194</v>
      </c>
      <c r="L1121" s="3">
        <v>1</v>
      </c>
      <c r="M1121" s="10" t="s">
        <v>4276</v>
      </c>
      <c r="N1121" s="3" t="s">
        <v>4280</v>
      </c>
      <c r="O1121" s="7">
        <v>684.65</v>
      </c>
      <c r="P1121" s="3">
        <f t="shared" si="28"/>
        <v>684.65</v>
      </c>
    </row>
    <row r="1122" spans="1:16" x14ac:dyDescent="0.35">
      <c r="A1122" t="s">
        <v>1134</v>
      </c>
      <c r="B1122" s="5">
        <v>45787</v>
      </c>
      <c r="C1122" t="s">
        <v>2325</v>
      </c>
      <c r="E1122" t="s">
        <v>2405</v>
      </c>
      <c r="F1122">
        <v>1</v>
      </c>
      <c r="G1122" s="7">
        <v>195.86</v>
      </c>
      <c r="H1122" s="3" t="s">
        <v>2450</v>
      </c>
      <c r="I1122" s="3" t="s">
        <v>3066</v>
      </c>
      <c r="J1122" s="3" t="s">
        <v>3074</v>
      </c>
      <c r="K1122" s="3" t="s">
        <v>4195</v>
      </c>
      <c r="L1122" s="3">
        <v>3</v>
      </c>
      <c r="N1122" s="3" t="s">
        <v>4281</v>
      </c>
      <c r="O1122" s="7">
        <v>195.86</v>
      </c>
      <c r="P1122" s="3">
        <f t="shared" si="28"/>
        <v>195.86</v>
      </c>
    </row>
    <row r="1123" spans="1:16" x14ac:dyDescent="0.35">
      <c r="A1123" t="s">
        <v>1135</v>
      </c>
      <c r="B1123" s="5">
        <v>45074</v>
      </c>
      <c r="C1123" t="s">
        <v>2326</v>
      </c>
      <c r="E1123" t="s">
        <v>2404</v>
      </c>
      <c r="F1123">
        <v>3</v>
      </c>
      <c r="G1123" s="7">
        <v>50.34</v>
      </c>
      <c r="H1123" s="3" t="s">
        <v>2965</v>
      </c>
      <c r="I1123" s="3" t="s">
        <v>3068</v>
      </c>
      <c r="J1123" s="3" t="s">
        <v>3072</v>
      </c>
      <c r="K1123" s="3" t="s">
        <v>4196</v>
      </c>
      <c r="L1123" s="3">
        <v>3</v>
      </c>
      <c r="M1123" s="10" t="s">
        <v>4276</v>
      </c>
      <c r="N1123" s="3" t="s">
        <v>4278</v>
      </c>
      <c r="O1123" s="7">
        <v>151.02000000000001</v>
      </c>
      <c r="P1123" s="3">
        <f t="shared" si="28"/>
        <v>151.02000000000001</v>
      </c>
    </row>
    <row r="1124" spans="1:16" x14ac:dyDescent="0.35">
      <c r="A1124" t="s">
        <v>1136</v>
      </c>
      <c r="B1124" s="5">
        <v>45084</v>
      </c>
      <c r="C1124" t="s">
        <v>1480</v>
      </c>
      <c r="E1124" t="s">
        <v>2403</v>
      </c>
      <c r="F1124">
        <v>5</v>
      </c>
      <c r="G1124" s="7">
        <v>678.19</v>
      </c>
      <c r="H1124" s="3" t="s">
        <v>3008</v>
      </c>
      <c r="I1124" s="3" t="s">
        <v>3066</v>
      </c>
      <c r="J1124" s="3" t="s">
        <v>3072</v>
      </c>
      <c r="K1124" s="3" t="s">
        <v>4197</v>
      </c>
      <c r="L1124" s="3">
        <v>8</v>
      </c>
      <c r="N1124" s="3" t="s">
        <v>4281</v>
      </c>
      <c r="O1124" s="7">
        <v>3390.95</v>
      </c>
      <c r="P1124" s="3">
        <f t="shared" si="28"/>
        <v>3390.9500000000003</v>
      </c>
    </row>
    <row r="1125" spans="1:16" x14ac:dyDescent="0.35">
      <c r="A1125" t="s">
        <v>1137</v>
      </c>
      <c r="B1125" s="5">
        <v>45030</v>
      </c>
      <c r="C1125" t="s">
        <v>2327</v>
      </c>
      <c r="E1125" t="s">
        <v>2405</v>
      </c>
      <c r="F1125">
        <v>3</v>
      </c>
      <c r="G1125" s="7">
        <v>554.25</v>
      </c>
      <c r="H1125" s="3" t="s">
        <v>3036</v>
      </c>
      <c r="I1125" s="3" t="s">
        <v>3065</v>
      </c>
      <c r="J1125" s="3" t="s">
        <v>3070</v>
      </c>
      <c r="K1125" s="3" t="s">
        <v>4198</v>
      </c>
      <c r="L1125" s="3">
        <v>6</v>
      </c>
      <c r="M1125" s="10" t="s">
        <v>4277</v>
      </c>
      <c r="N1125" s="3" t="s">
        <v>4279</v>
      </c>
      <c r="O1125" s="7">
        <v>1662.75</v>
      </c>
      <c r="P1125" s="3">
        <f t="shared" si="28"/>
        <v>1662.75</v>
      </c>
    </row>
    <row r="1126" spans="1:16" x14ac:dyDescent="0.35">
      <c r="A1126" t="s">
        <v>1138</v>
      </c>
      <c r="B1126" s="5">
        <v>45055</v>
      </c>
      <c r="C1126" t="s">
        <v>2328</v>
      </c>
      <c r="E1126" t="s">
        <v>2406</v>
      </c>
      <c r="F1126">
        <v>4</v>
      </c>
      <c r="G1126" s="7">
        <v>576.87</v>
      </c>
      <c r="H1126" s="3" t="s">
        <v>3037</v>
      </c>
      <c r="I1126" s="3" t="s">
        <v>3068</v>
      </c>
      <c r="J1126" s="3" t="s">
        <v>3072</v>
      </c>
      <c r="K1126" s="3" t="s">
        <v>4199</v>
      </c>
      <c r="L1126" s="3">
        <v>5</v>
      </c>
      <c r="N1126" s="3" t="s">
        <v>4278</v>
      </c>
      <c r="O1126" s="7">
        <v>2307.48</v>
      </c>
      <c r="P1126" s="3">
        <f t="shared" si="28"/>
        <v>2307.48</v>
      </c>
    </row>
    <row r="1127" spans="1:16" x14ac:dyDescent="0.35">
      <c r="A1127" t="s">
        <v>1139</v>
      </c>
      <c r="B1127" s="5">
        <v>45215</v>
      </c>
      <c r="C1127" t="s">
        <v>2329</v>
      </c>
      <c r="E1127" t="s">
        <v>2409</v>
      </c>
      <c r="F1127">
        <v>4</v>
      </c>
      <c r="G1127" s="7">
        <v>408.36</v>
      </c>
      <c r="H1127" s="3" t="s">
        <v>2958</v>
      </c>
      <c r="I1127" s="3" t="s">
        <v>3068</v>
      </c>
      <c r="J1127" s="3" t="s">
        <v>3071</v>
      </c>
      <c r="K1127" s="3" t="s">
        <v>4200</v>
      </c>
      <c r="L1127" s="3">
        <v>4</v>
      </c>
      <c r="M1127" s="10" t="s">
        <v>4276</v>
      </c>
      <c r="N1127" s="3" t="s">
        <v>4279</v>
      </c>
      <c r="O1127" s="7">
        <v>1633.44</v>
      </c>
      <c r="P1127" s="3">
        <f t="shared" si="28"/>
        <v>1633.44</v>
      </c>
    </row>
    <row r="1128" spans="1:16" x14ac:dyDescent="0.35">
      <c r="A1128" t="s">
        <v>1140</v>
      </c>
      <c r="B1128" s="5">
        <v>45495</v>
      </c>
      <c r="C1128" t="s">
        <v>2330</v>
      </c>
      <c r="E1128" t="s">
        <v>2404</v>
      </c>
      <c r="F1128">
        <v>5</v>
      </c>
      <c r="G1128" s="7">
        <v>190.11</v>
      </c>
      <c r="H1128" s="3" t="s">
        <v>3038</v>
      </c>
      <c r="I1128" s="3" t="s">
        <v>3069</v>
      </c>
      <c r="J1128" s="3" t="s">
        <v>3073</v>
      </c>
      <c r="K1128" s="3" t="s">
        <v>4201</v>
      </c>
      <c r="L1128" s="3">
        <v>7</v>
      </c>
      <c r="M1128" s="10" t="s">
        <v>4275</v>
      </c>
      <c r="N1128" s="3" t="s">
        <v>4282</v>
      </c>
      <c r="O1128" s="7">
        <v>950.55000000000007</v>
      </c>
      <c r="P1128" s="3">
        <f t="shared" si="28"/>
        <v>950.55000000000007</v>
      </c>
    </row>
    <row r="1129" spans="1:16" x14ac:dyDescent="0.35">
      <c r="A1129" t="s">
        <v>1141</v>
      </c>
      <c r="B1129" s="5">
        <v>45731</v>
      </c>
      <c r="C1129" t="s">
        <v>2331</v>
      </c>
      <c r="E1129" t="s">
        <v>2407</v>
      </c>
      <c r="F1129">
        <v>3</v>
      </c>
      <c r="G1129" s="7">
        <v>602.75</v>
      </c>
      <c r="H1129" s="3" t="s">
        <v>2939</v>
      </c>
      <c r="I1129" s="3" t="s">
        <v>3067</v>
      </c>
      <c r="J1129" s="3" t="s">
        <v>3070</v>
      </c>
      <c r="K1129" s="3" t="s">
        <v>4202</v>
      </c>
      <c r="L1129" s="3">
        <v>6</v>
      </c>
      <c r="M1129" s="10" t="s">
        <v>4275</v>
      </c>
      <c r="N1129" s="3" t="s">
        <v>4280</v>
      </c>
      <c r="O1129" s="7">
        <v>1808.25</v>
      </c>
      <c r="P1129" s="3">
        <f t="shared" si="28"/>
        <v>1808.25</v>
      </c>
    </row>
    <row r="1130" spans="1:16" x14ac:dyDescent="0.35">
      <c r="A1130" t="s">
        <v>1142</v>
      </c>
      <c r="B1130" s="5">
        <v>45155</v>
      </c>
      <c r="C1130" t="s">
        <v>2332</v>
      </c>
      <c r="E1130" t="s">
        <v>2403</v>
      </c>
      <c r="F1130">
        <v>3</v>
      </c>
      <c r="G1130" s="7">
        <v>646.79</v>
      </c>
      <c r="H1130" s="3" t="s">
        <v>2490</v>
      </c>
      <c r="I1130" s="3" t="s">
        <v>3069</v>
      </c>
      <c r="J1130" s="3" t="s">
        <v>3071</v>
      </c>
      <c r="K1130" s="3" t="s">
        <v>4203</v>
      </c>
      <c r="L1130" s="3">
        <v>5</v>
      </c>
      <c r="M1130" s="10" t="s">
        <v>4277</v>
      </c>
      <c r="N1130" s="3" t="s">
        <v>4282</v>
      </c>
      <c r="O1130" s="7">
        <v>1940.37</v>
      </c>
      <c r="P1130" s="3">
        <f t="shared" si="28"/>
        <v>1940.37</v>
      </c>
    </row>
    <row r="1131" spans="1:16" x14ac:dyDescent="0.35">
      <c r="A1131" t="s">
        <v>1143</v>
      </c>
      <c r="B1131" s="5">
        <v>45088</v>
      </c>
      <c r="C1131" t="s">
        <v>2333</v>
      </c>
      <c r="E1131" t="s">
        <v>2406</v>
      </c>
      <c r="F1131">
        <v>4</v>
      </c>
      <c r="G1131" s="7">
        <v>418.71</v>
      </c>
      <c r="H1131" s="3" t="s">
        <v>2480</v>
      </c>
      <c r="I1131" s="3" t="s">
        <v>3069</v>
      </c>
      <c r="J1131" s="3" t="s">
        <v>3074</v>
      </c>
      <c r="K1131" s="3" t="s">
        <v>4204</v>
      </c>
      <c r="L1131" s="3">
        <v>8</v>
      </c>
      <c r="M1131" s="10" t="s">
        <v>4276</v>
      </c>
      <c r="N1131" s="3" t="s">
        <v>4278</v>
      </c>
      <c r="O1131" s="7">
        <v>1674.84</v>
      </c>
      <c r="P1131" s="3">
        <f t="shared" si="28"/>
        <v>1674.84</v>
      </c>
    </row>
    <row r="1132" spans="1:16" x14ac:dyDescent="0.35">
      <c r="A1132" t="s">
        <v>1144</v>
      </c>
      <c r="B1132" s="5">
        <v>45704</v>
      </c>
      <c r="C1132" t="s">
        <v>2334</v>
      </c>
      <c r="E1132" t="s">
        <v>2408</v>
      </c>
      <c r="F1132">
        <v>2</v>
      </c>
      <c r="G1132" s="7">
        <v>323.45</v>
      </c>
      <c r="H1132" s="3" t="s">
        <v>2501</v>
      </c>
      <c r="I1132" s="3" t="s">
        <v>3067</v>
      </c>
      <c r="J1132" s="3" t="s">
        <v>3072</v>
      </c>
      <c r="K1132" s="3" t="s">
        <v>4205</v>
      </c>
      <c r="L1132" s="3">
        <v>5</v>
      </c>
      <c r="M1132" s="10" t="s">
        <v>4276</v>
      </c>
      <c r="N1132" s="3" t="s">
        <v>4278</v>
      </c>
      <c r="O1132" s="7">
        <v>646.9</v>
      </c>
      <c r="P1132" s="3">
        <f t="shared" si="28"/>
        <v>646.9</v>
      </c>
    </row>
    <row r="1133" spans="1:16" x14ac:dyDescent="0.35">
      <c r="A1133" t="s">
        <v>1145</v>
      </c>
      <c r="B1133" s="5">
        <v>45491</v>
      </c>
      <c r="C1133" t="s">
        <v>2335</v>
      </c>
      <c r="E1133" t="s">
        <v>2404</v>
      </c>
      <c r="F1133">
        <v>1</v>
      </c>
      <c r="G1133" s="7">
        <v>694.5</v>
      </c>
      <c r="H1133" s="3" t="s">
        <v>2651</v>
      </c>
      <c r="I1133" s="3" t="s">
        <v>3067</v>
      </c>
      <c r="J1133" s="3" t="s">
        <v>3074</v>
      </c>
      <c r="K1133" s="3" t="s">
        <v>4206</v>
      </c>
      <c r="L1133" s="3">
        <v>3</v>
      </c>
      <c r="M1133" s="10" t="s">
        <v>4277</v>
      </c>
      <c r="N1133" s="3" t="s">
        <v>4281</v>
      </c>
      <c r="O1133" s="7">
        <v>694.5</v>
      </c>
      <c r="P1133" s="3">
        <f t="shared" si="28"/>
        <v>694.5</v>
      </c>
    </row>
    <row r="1134" spans="1:16" x14ac:dyDescent="0.35">
      <c r="A1134" t="s">
        <v>1146</v>
      </c>
      <c r="B1134" s="5">
        <v>45628</v>
      </c>
      <c r="C1134" t="s">
        <v>2336</v>
      </c>
      <c r="E1134" t="s">
        <v>2406</v>
      </c>
      <c r="F1134">
        <v>2</v>
      </c>
      <c r="G1134" s="7">
        <v>337.32</v>
      </c>
      <c r="H1134" s="3" t="s">
        <v>2608</v>
      </c>
      <c r="I1134" s="3" t="s">
        <v>3067</v>
      </c>
      <c r="J1134" s="3" t="s">
        <v>3071</v>
      </c>
      <c r="K1134" s="3" t="s">
        <v>4207</v>
      </c>
      <c r="L1134" s="3">
        <v>4</v>
      </c>
      <c r="M1134" s="10" t="s">
        <v>4275</v>
      </c>
      <c r="N1134" s="3" t="s">
        <v>4280</v>
      </c>
      <c r="O1134" s="7">
        <v>674.64</v>
      </c>
      <c r="P1134" s="3">
        <f t="shared" si="28"/>
        <v>674.64</v>
      </c>
    </row>
    <row r="1135" spans="1:16" x14ac:dyDescent="0.35">
      <c r="A1135" t="s">
        <v>1147</v>
      </c>
      <c r="B1135" s="5">
        <v>45391</v>
      </c>
      <c r="C1135" t="s">
        <v>2337</v>
      </c>
      <c r="E1135" t="s">
        <v>2407</v>
      </c>
      <c r="F1135">
        <v>2</v>
      </c>
      <c r="G1135" s="7">
        <v>467.91</v>
      </c>
      <c r="H1135" s="3" t="s">
        <v>2597</v>
      </c>
      <c r="I1135" s="3" t="s">
        <v>3068</v>
      </c>
      <c r="J1135" s="3" t="s">
        <v>3072</v>
      </c>
      <c r="K1135" s="3" t="s">
        <v>4208</v>
      </c>
      <c r="L1135" s="3">
        <v>5</v>
      </c>
      <c r="M1135" s="10" t="s">
        <v>4277</v>
      </c>
      <c r="N1135" s="3" t="s">
        <v>4281</v>
      </c>
      <c r="O1135" s="7">
        <v>935.82</v>
      </c>
      <c r="P1135" s="3">
        <f t="shared" si="28"/>
        <v>935.82</v>
      </c>
    </row>
    <row r="1136" spans="1:16" x14ac:dyDescent="0.35">
      <c r="A1136" t="s">
        <v>1148</v>
      </c>
      <c r="B1136" s="5">
        <v>45451</v>
      </c>
      <c r="C1136" t="s">
        <v>2338</v>
      </c>
      <c r="E1136" t="s">
        <v>2409</v>
      </c>
      <c r="F1136">
        <v>4</v>
      </c>
      <c r="G1136" s="7">
        <v>38.28</v>
      </c>
      <c r="H1136" s="3" t="s">
        <v>3039</v>
      </c>
      <c r="I1136" s="3" t="s">
        <v>3065</v>
      </c>
      <c r="J1136" s="3" t="s">
        <v>3071</v>
      </c>
      <c r="K1136" s="3" t="s">
        <v>4209</v>
      </c>
      <c r="L1136" s="3">
        <v>4</v>
      </c>
      <c r="M1136" s="10" t="s">
        <v>4277</v>
      </c>
      <c r="N1136" s="3" t="s">
        <v>4281</v>
      </c>
      <c r="O1136" s="7">
        <v>153.12</v>
      </c>
      <c r="P1136" s="3">
        <f t="shared" si="28"/>
        <v>153.12</v>
      </c>
    </row>
    <row r="1137" spans="1:16" x14ac:dyDescent="0.35">
      <c r="A1137" t="s">
        <v>1149</v>
      </c>
      <c r="B1137" s="5">
        <v>45288</v>
      </c>
      <c r="C1137" t="s">
        <v>2339</v>
      </c>
      <c r="E1137" t="s">
        <v>2407</v>
      </c>
      <c r="F1137">
        <v>2</v>
      </c>
      <c r="G1137" s="7">
        <v>73.41</v>
      </c>
      <c r="H1137" s="3" t="s">
        <v>2613</v>
      </c>
      <c r="I1137" s="3" t="s">
        <v>3066</v>
      </c>
      <c r="J1137" s="3" t="s">
        <v>3070</v>
      </c>
      <c r="K1137" s="3" t="s">
        <v>4210</v>
      </c>
      <c r="L1137" s="3">
        <v>2</v>
      </c>
      <c r="M1137" s="10" t="s">
        <v>4275</v>
      </c>
      <c r="N1137" s="3" t="s">
        <v>4282</v>
      </c>
      <c r="O1137" s="7">
        <v>146.82</v>
      </c>
      <c r="P1137" s="3">
        <f t="shared" si="28"/>
        <v>146.82</v>
      </c>
    </row>
    <row r="1138" spans="1:16" x14ac:dyDescent="0.35">
      <c r="A1138" t="s">
        <v>1150</v>
      </c>
      <c r="B1138" s="5">
        <v>45193</v>
      </c>
      <c r="C1138" t="s">
        <v>2340</v>
      </c>
      <c r="E1138" t="s">
        <v>2405</v>
      </c>
      <c r="F1138">
        <v>3</v>
      </c>
      <c r="G1138" s="7">
        <v>668.33</v>
      </c>
      <c r="H1138" s="3" t="s">
        <v>2882</v>
      </c>
      <c r="I1138" s="3" t="s">
        <v>3068</v>
      </c>
      <c r="J1138" s="3" t="s">
        <v>3074</v>
      </c>
      <c r="K1138" s="3" t="s">
        <v>4211</v>
      </c>
      <c r="L1138" s="3">
        <v>4</v>
      </c>
      <c r="M1138" s="10" t="s">
        <v>4277</v>
      </c>
      <c r="N1138" s="3" t="s">
        <v>4281</v>
      </c>
      <c r="O1138" s="7">
        <v>2004.99</v>
      </c>
      <c r="P1138" s="3">
        <f t="shared" si="28"/>
        <v>2004.9900000000002</v>
      </c>
    </row>
    <row r="1139" spans="1:16" x14ac:dyDescent="0.35">
      <c r="A1139" t="s">
        <v>1151</v>
      </c>
      <c r="B1139" s="5">
        <v>45502</v>
      </c>
      <c r="C1139" t="s">
        <v>2341</v>
      </c>
      <c r="E1139" t="s">
        <v>2407</v>
      </c>
      <c r="F1139">
        <v>4</v>
      </c>
      <c r="G1139" s="7">
        <v>410.21</v>
      </c>
      <c r="H1139" s="3" t="s">
        <v>3040</v>
      </c>
      <c r="I1139" s="3" t="s">
        <v>3069</v>
      </c>
      <c r="J1139" s="3" t="s">
        <v>3074</v>
      </c>
      <c r="K1139" s="3" t="s">
        <v>4212</v>
      </c>
      <c r="L1139" s="3">
        <v>5</v>
      </c>
      <c r="M1139" s="10" t="s">
        <v>4277</v>
      </c>
      <c r="N1139" s="3" t="s">
        <v>4278</v>
      </c>
      <c r="O1139" s="7">
        <v>1640.84</v>
      </c>
      <c r="P1139" s="3">
        <f t="shared" si="28"/>
        <v>1640.84</v>
      </c>
    </row>
    <row r="1140" spans="1:16" x14ac:dyDescent="0.35">
      <c r="A1140" t="s">
        <v>1152</v>
      </c>
      <c r="B1140" s="5">
        <v>45278</v>
      </c>
      <c r="C1140" t="s">
        <v>2342</v>
      </c>
      <c r="E1140" t="s">
        <v>2409</v>
      </c>
      <c r="F1140">
        <v>4</v>
      </c>
      <c r="G1140" s="7">
        <v>294.41000000000003</v>
      </c>
      <c r="H1140" s="3" t="s">
        <v>2865</v>
      </c>
      <c r="I1140" s="3" t="s">
        <v>3065</v>
      </c>
      <c r="J1140" s="3" t="s">
        <v>3074</v>
      </c>
      <c r="K1140" s="3" t="s">
        <v>4213</v>
      </c>
      <c r="L1140" s="3">
        <v>4</v>
      </c>
      <c r="N1140" s="3" t="s">
        <v>4278</v>
      </c>
      <c r="O1140" s="7">
        <v>1177.6400000000001</v>
      </c>
      <c r="P1140" s="3">
        <f t="shared" si="28"/>
        <v>1177.6400000000001</v>
      </c>
    </row>
    <row r="1141" spans="1:16" x14ac:dyDescent="0.35">
      <c r="A1141" t="s">
        <v>1153</v>
      </c>
      <c r="B1141" s="5">
        <v>45717</v>
      </c>
      <c r="C1141" t="s">
        <v>2256</v>
      </c>
      <c r="E1141" t="s">
        <v>2406</v>
      </c>
      <c r="F1141">
        <v>3</v>
      </c>
      <c r="G1141" s="7">
        <v>501.82</v>
      </c>
      <c r="H1141" s="3" t="s">
        <v>2438</v>
      </c>
      <c r="I1141" s="3" t="s">
        <v>3068</v>
      </c>
      <c r="J1141" s="3" t="s">
        <v>3071</v>
      </c>
      <c r="K1141" s="3" t="s">
        <v>4214</v>
      </c>
      <c r="L1141" s="3">
        <v>4</v>
      </c>
      <c r="M1141" s="10" t="s">
        <v>4276</v>
      </c>
      <c r="N1141" s="3" t="s">
        <v>4280</v>
      </c>
      <c r="O1141" s="7">
        <v>1505.46</v>
      </c>
      <c r="P1141" s="3">
        <f t="shared" si="28"/>
        <v>1505.46</v>
      </c>
    </row>
    <row r="1142" spans="1:16" x14ac:dyDescent="0.35">
      <c r="A1142" t="s">
        <v>1154</v>
      </c>
      <c r="B1142" s="5">
        <v>45467</v>
      </c>
      <c r="C1142" t="s">
        <v>2343</v>
      </c>
      <c r="E1142" t="s">
        <v>2407</v>
      </c>
      <c r="F1142">
        <v>2</v>
      </c>
      <c r="G1142" s="7">
        <v>552.83000000000004</v>
      </c>
      <c r="H1142" s="3" t="s">
        <v>2418</v>
      </c>
      <c r="I1142" s="3" t="s">
        <v>3067</v>
      </c>
      <c r="J1142" s="3" t="s">
        <v>3071</v>
      </c>
      <c r="K1142" s="3" t="s">
        <v>4215</v>
      </c>
      <c r="L1142" s="3">
        <v>3</v>
      </c>
      <c r="N1142" s="3" t="s">
        <v>4279</v>
      </c>
      <c r="O1142" s="7">
        <v>1105.6600000000001</v>
      </c>
      <c r="P1142" s="3">
        <f t="shared" si="28"/>
        <v>1105.6600000000001</v>
      </c>
    </row>
    <row r="1143" spans="1:16" x14ac:dyDescent="0.35">
      <c r="A1143" t="s">
        <v>1155</v>
      </c>
      <c r="B1143" s="5">
        <v>45704</v>
      </c>
      <c r="C1143" t="s">
        <v>2344</v>
      </c>
      <c r="E1143" t="s">
        <v>2406</v>
      </c>
      <c r="F1143">
        <v>3</v>
      </c>
      <c r="G1143" s="7">
        <v>498.66</v>
      </c>
      <c r="H1143" s="3" t="s">
        <v>2427</v>
      </c>
      <c r="I1143" s="3" t="s">
        <v>3069</v>
      </c>
      <c r="J1143" s="3" t="s">
        <v>3071</v>
      </c>
      <c r="K1143" s="3" t="s">
        <v>4216</v>
      </c>
      <c r="L1143" s="3">
        <v>6</v>
      </c>
      <c r="N1143" s="3" t="s">
        <v>4280</v>
      </c>
      <c r="O1143" s="7">
        <v>1495.98</v>
      </c>
      <c r="P1143" s="3">
        <f t="shared" si="28"/>
        <v>1495.98</v>
      </c>
    </row>
    <row r="1144" spans="1:16" x14ac:dyDescent="0.35">
      <c r="A1144" t="s">
        <v>1156</v>
      </c>
      <c r="B1144" s="5">
        <v>45527</v>
      </c>
      <c r="C1144" t="s">
        <v>2345</v>
      </c>
      <c r="E1144" t="s">
        <v>2404</v>
      </c>
      <c r="F1144">
        <v>4</v>
      </c>
      <c r="G1144" s="7">
        <v>695.1</v>
      </c>
      <c r="H1144" s="3" t="s">
        <v>3041</v>
      </c>
      <c r="I1144" s="3" t="s">
        <v>3065</v>
      </c>
      <c r="J1144" s="3" t="s">
        <v>3072</v>
      </c>
      <c r="K1144" s="3" t="s">
        <v>4217</v>
      </c>
      <c r="L1144" s="3">
        <v>8</v>
      </c>
      <c r="N1144" s="3" t="s">
        <v>4280</v>
      </c>
      <c r="O1144" s="7">
        <v>2780.4</v>
      </c>
      <c r="P1144" s="3">
        <f t="shared" si="28"/>
        <v>2780.4</v>
      </c>
    </row>
    <row r="1145" spans="1:16" x14ac:dyDescent="0.35">
      <c r="A1145" t="s">
        <v>1157</v>
      </c>
      <c r="B1145" s="5">
        <v>45019</v>
      </c>
      <c r="C1145" t="s">
        <v>2346</v>
      </c>
      <c r="E1145" t="s">
        <v>2406</v>
      </c>
      <c r="F1145">
        <v>1</v>
      </c>
      <c r="G1145" s="7">
        <v>381.61</v>
      </c>
      <c r="H1145" s="3" t="s">
        <v>3042</v>
      </c>
      <c r="I1145" s="3" t="s">
        <v>3065</v>
      </c>
      <c r="J1145" s="3" t="s">
        <v>3074</v>
      </c>
      <c r="K1145" s="3" t="s">
        <v>4218</v>
      </c>
      <c r="L1145" s="3">
        <v>5</v>
      </c>
      <c r="N1145" s="3" t="s">
        <v>4280</v>
      </c>
      <c r="O1145" s="7">
        <v>381.61</v>
      </c>
      <c r="P1145" s="3">
        <f t="shared" si="28"/>
        <v>381.61</v>
      </c>
    </row>
    <row r="1146" spans="1:16" x14ac:dyDescent="0.35">
      <c r="A1146" t="s">
        <v>1158</v>
      </c>
      <c r="B1146" s="5">
        <v>44973</v>
      </c>
      <c r="C1146" t="s">
        <v>2347</v>
      </c>
      <c r="E1146" t="s">
        <v>2409</v>
      </c>
      <c r="F1146">
        <v>5</v>
      </c>
      <c r="G1146" s="7">
        <v>507.94</v>
      </c>
      <c r="H1146" s="3" t="s">
        <v>3043</v>
      </c>
      <c r="I1146" s="3" t="s">
        <v>3066</v>
      </c>
      <c r="J1146" s="3" t="s">
        <v>3071</v>
      </c>
      <c r="K1146" s="3" t="s">
        <v>4219</v>
      </c>
      <c r="L1146" s="3">
        <v>9</v>
      </c>
      <c r="N1146" s="3" t="s">
        <v>4281</v>
      </c>
      <c r="O1146" s="7">
        <v>2539.6999999999998</v>
      </c>
      <c r="P1146" s="3">
        <f t="shared" si="28"/>
        <v>2539.6999999999998</v>
      </c>
    </row>
    <row r="1147" spans="1:16" x14ac:dyDescent="0.35">
      <c r="A1147" t="s">
        <v>1159</v>
      </c>
      <c r="B1147" s="5">
        <v>45789</v>
      </c>
      <c r="C1147" t="s">
        <v>2348</v>
      </c>
      <c r="E1147" t="s">
        <v>2409</v>
      </c>
      <c r="F1147">
        <v>3</v>
      </c>
      <c r="G1147" s="7">
        <v>571.53</v>
      </c>
      <c r="H1147" s="3" t="s">
        <v>2628</v>
      </c>
      <c r="I1147" s="3" t="s">
        <v>3065</v>
      </c>
      <c r="J1147" s="3" t="s">
        <v>3073</v>
      </c>
      <c r="K1147" s="3" t="s">
        <v>4220</v>
      </c>
      <c r="L1147" s="3">
        <v>6</v>
      </c>
      <c r="M1147" s="10" t="s">
        <v>4276</v>
      </c>
      <c r="N1147" s="3" t="s">
        <v>4281</v>
      </c>
      <c r="O1147" s="7">
        <v>1714.59</v>
      </c>
      <c r="P1147" s="3">
        <f t="shared" si="28"/>
        <v>1714.59</v>
      </c>
    </row>
    <row r="1148" spans="1:16" x14ac:dyDescent="0.35">
      <c r="A1148" t="s">
        <v>1160</v>
      </c>
      <c r="B1148" s="5">
        <v>45568</v>
      </c>
      <c r="C1148" t="s">
        <v>2349</v>
      </c>
      <c r="E1148" t="s">
        <v>2403</v>
      </c>
      <c r="F1148">
        <v>5</v>
      </c>
      <c r="G1148" s="7">
        <v>421.44</v>
      </c>
      <c r="H1148" s="3" t="s">
        <v>2761</v>
      </c>
      <c r="I1148" s="3" t="s">
        <v>3069</v>
      </c>
      <c r="J1148" s="3" t="s">
        <v>3074</v>
      </c>
      <c r="K1148" s="3" t="s">
        <v>4221</v>
      </c>
      <c r="L1148" s="3">
        <v>5</v>
      </c>
      <c r="M1148" s="10" t="s">
        <v>4275</v>
      </c>
      <c r="N1148" s="3" t="s">
        <v>4278</v>
      </c>
      <c r="O1148" s="7">
        <v>2107.1999999999998</v>
      </c>
      <c r="P1148" s="3">
        <f t="shared" si="28"/>
        <v>2107.1999999999998</v>
      </c>
    </row>
    <row r="1149" spans="1:16" x14ac:dyDescent="0.35">
      <c r="A1149" t="s">
        <v>1161</v>
      </c>
      <c r="B1149" s="5">
        <v>45659</v>
      </c>
      <c r="C1149" t="s">
        <v>2350</v>
      </c>
      <c r="E1149" t="s">
        <v>2406</v>
      </c>
      <c r="F1149">
        <v>2</v>
      </c>
      <c r="G1149" s="7">
        <v>588.29999999999995</v>
      </c>
      <c r="H1149" s="3" t="s">
        <v>3044</v>
      </c>
      <c r="I1149" s="3" t="s">
        <v>3066</v>
      </c>
      <c r="J1149" s="3" t="s">
        <v>3074</v>
      </c>
      <c r="K1149" s="3" t="s">
        <v>4222</v>
      </c>
      <c r="L1149" s="3">
        <v>2</v>
      </c>
      <c r="M1149" s="10" t="s">
        <v>4276</v>
      </c>
      <c r="N1149" s="3" t="s">
        <v>4280</v>
      </c>
      <c r="O1149" s="7">
        <v>1176.5999999999999</v>
      </c>
      <c r="P1149" s="3">
        <f t="shared" si="28"/>
        <v>1176.5999999999999</v>
      </c>
    </row>
    <row r="1150" spans="1:16" x14ac:dyDescent="0.35">
      <c r="A1150" t="s">
        <v>1162</v>
      </c>
      <c r="B1150" s="5">
        <v>45468</v>
      </c>
      <c r="C1150" t="s">
        <v>2351</v>
      </c>
      <c r="E1150" t="s">
        <v>2404</v>
      </c>
      <c r="F1150">
        <v>1</v>
      </c>
      <c r="G1150" s="7">
        <v>355.15</v>
      </c>
      <c r="H1150" s="3" t="s">
        <v>3045</v>
      </c>
      <c r="I1150" s="3" t="s">
        <v>3069</v>
      </c>
      <c r="J1150" s="3" t="s">
        <v>3072</v>
      </c>
      <c r="K1150" s="3" t="s">
        <v>4223</v>
      </c>
      <c r="L1150" s="3">
        <v>2</v>
      </c>
      <c r="M1150" s="10" t="s">
        <v>4275</v>
      </c>
      <c r="N1150" s="3" t="s">
        <v>4280</v>
      </c>
      <c r="O1150" s="7">
        <v>355.15</v>
      </c>
      <c r="P1150" s="3">
        <f t="shared" si="28"/>
        <v>355.15</v>
      </c>
    </row>
    <row r="1151" spans="1:16" x14ac:dyDescent="0.35">
      <c r="A1151" t="s">
        <v>1163</v>
      </c>
      <c r="B1151" s="5">
        <v>45498</v>
      </c>
      <c r="C1151" t="s">
        <v>2352</v>
      </c>
      <c r="E1151" t="s">
        <v>2406</v>
      </c>
      <c r="F1151">
        <v>2</v>
      </c>
      <c r="G1151" s="7">
        <v>695.29</v>
      </c>
      <c r="H1151" s="3" t="s">
        <v>3046</v>
      </c>
      <c r="I1151" s="3" t="s">
        <v>3067</v>
      </c>
      <c r="J1151" s="3" t="s">
        <v>3074</v>
      </c>
      <c r="K1151" s="3" t="s">
        <v>4224</v>
      </c>
      <c r="L1151" s="3">
        <v>6</v>
      </c>
      <c r="M1151" s="10" t="s">
        <v>4276</v>
      </c>
      <c r="N1151" s="3" t="s">
        <v>4278</v>
      </c>
      <c r="O1151" s="7">
        <v>1390.58</v>
      </c>
      <c r="P1151" s="3">
        <f t="shared" si="28"/>
        <v>1390.58</v>
      </c>
    </row>
    <row r="1152" spans="1:16" x14ac:dyDescent="0.35">
      <c r="A1152" t="s">
        <v>1164</v>
      </c>
      <c r="B1152" s="5">
        <v>44977</v>
      </c>
      <c r="C1152" t="s">
        <v>2353</v>
      </c>
      <c r="E1152" t="s">
        <v>2409</v>
      </c>
      <c r="F1152">
        <v>4</v>
      </c>
      <c r="G1152" s="7">
        <v>302.64999999999998</v>
      </c>
      <c r="H1152" s="3" t="s">
        <v>2642</v>
      </c>
      <c r="I1152" s="3" t="s">
        <v>3067</v>
      </c>
      <c r="J1152" s="3" t="s">
        <v>3071</v>
      </c>
      <c r="K1152" s="3" t="s">
        <v>4225</v>
      </c>
      <c r="L1152" s="3">
        <v>8</v>
      </c>
      <c r="M1152" s="10" t="s">
        <v>4275</v>
      </c>
      <c r="N1152" s="3" t="s">
        <v>4279</v>
      </c>
      <c r="O1152" s="7">
        <v>1210.5999999999999</v>
      </c>
      <c r="P1152" s="3">
        <f t="shared" si="28"/>
        <v>1210.5999999999999</v>
      </c>
    </row>
    <row r="1153" spans="1:16" x14ac:dyDescent="0.35">
      <c r="A1153" t="s">
        <v>1165</v>
      </c>
      <c r="B1153" s="5">
        <v>44955</v>
      </c>
      <c r="C1153" t="s">
        <v>2354</v>
      </c>
      <c r="E1153" t="s">
        <v>2406</v>
      </c>
      <c r="F1153">
        <v>2</v>
      </c>
      <c r="G1153" s="7">
        <v>608.04</v>
      </c>
      <c r="H1153" s="3" t="s">
        <v>3047</v>
      </c>
      <c r="I1153" s="3" t="s">
        <v>3069</v>
      </c>
      <c r="J1153" s="3" t="s">
        <v>3071</v>
      </c>
      <c r="K1153" s="3" t="s">
        <v>4226</v>
      </c>
      <c r="L1153" s="3">
        <v>4</v>
      </c>
      <c r="N1153" s="3" t="s">
        <v>4282</v>
      </c>
      <c r="O1153" s="7">
        <v>1216.08</v>
      </c>
      <c r="P1153" s="3">
        <f t="shared" si="28"/>
        <v>1216.08</v>
      </c>
    </row>
    <row r="1154" spans="1:16" x14ac:dyDescent="0.35">
      <c r="A1154" t="s">
        <v>1166</v>
      </c>
      <c r="B1154" s="5">
        <v>45239</v>
      </c>
      <c r="C1154" t="s">
        <v>2355</v>
      </c>
      <c r="E1154" t="s">
        <v>2405</v>
      </c>
      <c r="F1154">
        <v>2</v>
      </c>
      <c r="G1154" s="7">
        <v>344.18</v>
      </c>
      <c r="H1154" s="3" t="s">
        <v>2501</v>
      </c>
      <c r="I1154" s="3" t="s">
        <v>3067</v>
      </c>
      <c r="J1154" s="3" t="s">
        <v>3070</v>
      </c>
      <c r="K1154" s="3" t="s">
        <v>4227</v>
      </c>
      <c r="L1154" s="3">
        <v>7</v>
      </c>
      <c r="N1154" s="3" t="s">
        <v>4279</v>
      </c>
      <c r="O1154" s="7">
        <v>688.36</v>
      </c>
      <c r="P1154" s="3">
        <f t="shared" si="28"/>
        <v>688.36</v>
      </c>
    </row>
    <row r="1155" spans="1:16" x14ac:dyDescent="0.35">
      <c r="A1155" t="s">
        <v>1167</v>
      </c>
      <c r="B1155" s="5">
        <v>45642</v>
      </c>
      <c r="C1155" t="s">
        <v>2356</v>
      </c>
      <c r="E1155" t="s">
        <v>2403</v>
      </c>
      <c r="F1155">
        <v>4</v>
      </c>
      <c r="G1155" s="7">
        <v>696.71</v>
      </c>
      <c r="H1155" s="3" t="s">
        <v>3048</v>
      </c>
      <c r="I1155" s="3" t="s">
        <v>3065</v>
      </c>
      <c r="J1155" s="3" t="s">
        <v>3070</v>
      </c>
      <c r="K1155" s="3" t="s">
        <v>4228</v>
      </c>
      <c r="L1155" s="3">
        <v>4</v>
      </c>
      <c r="N1155" s="3" t="s">
        <v>4278</v>
      </c>
      <c r="O1155" s="7">
        <v>2786.84</v>
      </c>
      <c r="P1155" s="3">
        <f t="shared" ref="P1155:P1201" si="29">G1155*F1155</f>
        <v>2786.84</v>
      </c>
    </row>
    <row r="1156" spans="1:16" x14ac:dyDescent="0.35">
      <c r="A1156" t="s">
        <v>1168</v>
      </c>
      <c r="B1156" s="5">
        <v>45819</v>
      </c>
      <c r="C1156" t="s">
        <v>2357</v>
      </c>
      <c r="E1156" t="s">
        <v>2403</v>
      </c>
      <c r="F1156">
        <v>3</v>
      </c>
      <c r="G1156" s="7">
        <v>198.63</v>
      </c>
      <c r="H1156" s="3" t="s">
        <v>2520</v>
      </c>
      <c r="I1156" s="3" t="s">
        <v>3069</v>
      </c>
      <c r="J1156" s="3" t="s">
        <v>3074</v>
      </c>
      <c r="K1156" s="3" t="s">
        <v>4229</v>
      </c>
      <c r="L1156" s="3">
        <v>8</v>
      </c>
      <c r="M1156" s="10" t="s">
        <v>4275</v>
      </c>
      <c r="N1156" s="3" t="s">
        <v>4278</v>
      </c>
      <c r="O1156" s="7">
        <v>595.89</v>
      </c>
      <c r="P1156" s="3">
        <f t="shared" si="29"/>
        <v>595.89</v>
      </c>
    </row>
    <row r="1157" spans="1:16" x14ac:dyDescent="0.35">
      <c r="A1157" t="s">
        <v>1169</v>
      </c>
      <c r="B1157" s="5">
        <v>45151</v>
      </c>
      <c r="C1157" t="s">
        <v>2358</v>
      </c>
      <c r="E1157" t="s">
        <v>2407</v>
      </c>
      <c r="F1157">
        <v>4</v>
      </c>
      <c r="G1157" s="7">
        <v>534.57000000000005</v>
      </c>
      <c r="H1157" s="3" t="s">
        <v>2558</v>
      </c>
      <c r="I1157" s="3" t="s">
        <v>3067</v>
      </c>
      <c r="J1157" s="3" t="s">
        <v>3073</v>
      </c>
      <c r="K1157" s="3" t="s">
        <v>4230</v>
      </c>
      <c r="L1157" s="3">
        <v>6</v>
      </c>
      <c r="M1157" s="10" t="s">
        <v>4276</v>
      </c>
      <c r="N1157" s="3" t="s">
        <v>4281</v>
      </c>
      <c r="O1157" s="7">
        <v>2138.2800000000002</v>
      </c>
      <c r="P1157" s="3">
        <f t="shared" si="29"/>
        <v>2138.2800000000002</v>
      </c>
    </row>
    <row r="1158" spans="1:16" x14ac:dyDescent="0.35">
      <c r="A1158" t="s">
        <v>1170</v>
      </c>
      <c r="B1158" s="5">
        <v>45126</v>
      </c>
      <c r="C1158" t="s">
        <v>2359</v>
      </c>
      <c r="E1158" t="s">
        <v>2408</v>
      </c>
      <c r="F1158">
        <v>4</v>
      </c>
      <c r="G1158" s="7">
        <v>690.78</v>
      </c>
      <c r="H1158" s="3" t="s">
        <v>2424</v>
      </c>
      <c r="I1158" s="3" t="s">
        <v>3067</v>
      </c>
      <c r="J1158" s="3" t="s">
        <v>3070</v>
      </c>
      <c r="K1158" s="3" t="s">
        <v>4231</v>
      </c>
      <c r="L1158" s="3">
        <v>9</v>
      </c>
      <c r="N1158" s="3" t="s">
        <v>4279</v>
      </c>
      <c r="O1158" s="7">
        <v>2763.12</v>
      </c>
      <c r="P1158" s="3">
        <f t="shared" si="29"/>
        <v>2763.12</v>
      </c>
    </row>
    <row r="1159" spans="1:16" x14ac:dyDescent="0.35">
      <c r="A1159" t="s">
        <v>1171</v>
      </c>
      <c r="B1159" s="5">
        <v>45441</v>
      </c>
      <c r="C1159" t="s">
        <v>2360</v>
      </c>
      <c r="E1159" t="s">
        <v>2403</v>
      </c>
      <c r="F1159">
        <v>3</v>
      </c>
      <c r="G1159" s="7">
        <v>301.55</v>
      </c>
      <c r="H1159" s="3" t="s">
        <v>2605</v>
      </c>
      <c r="I1159" s="3" t="s">
        <v>3065</v>
      </c>
      <c r="J1159" s="3" t="s">
        <v>3073</v>
      </c>
      <c r="K1159" s="3" t="s">
        <v>4232</v>
      </c>
      <c r="L1159" s="3">
        <v>5</v>
      </c>
      <c r="M1159" s="10" t="s">
        <v>4276</v>
      </c>
      <c r="N1159" s="3" t="s">
        <v>4282</v>
      </c>
      <c r="O1159" s="7">
        <v>904.65000000000009</v>
      </c>
      <c r="P1159" s="3">
        <f t="shared" si="29"/>
        <v>904.65000000000009</v>
      </c>
    </row>
    <row r="1160" spans="1:16" x14ac:dyDescent="0.35">
      <c r="A1160" t="s">
        <v>1172</v>
      </c>
      <c r="B1160" s="5">
        <v>45036</v>
      </c>
      <c r="C1160" t="s">
        <v>2361</v>
      </c>
      <c r="E1160" t="s">
        <v>2403</v>
      </c>
      <c r="F1160">
        <v>4</v>
      </c>
      <c r="G1160" s="7">
        <v>27.42</v>
      </c>
      <c r="H1160" s="3" t="s">
        <v>2755</v>
      </c>
      <c r="I1160" s="3" t="s">
        <v>3065</v>
      </c>
      <c r="J1160" s="3" t="s">
        <v>3074</v>
      </c>
      <c r="K1160" s="3" t="s">
        <v>4233</v>
      </c>
      <c r="L1160" s="3">
        <v>4</v>
      </c>
      <c r="M1160" s="10" t="s">
        <v>4275</v>
      </c>
      <c r="N1160" s="3" t="s">
        <v>4279</v>
      </c>
      <c r="O1160" s="7">
        <v>109.68</v>
      </c>
      <c r="P1160" s="3">
        <f t="shared" si="29"/>
        <v>109.68</v>
      </c>
    </row>
    <row r="1161" spans="1:16" x14ac:dyDescent="0.35">
      <c r="A1161" t="s">
        <v>1173</v>
      </c>
      <c r="B1161" s="5">
        <v>45345</v>
      </c>
      <c r="C1161" t="s">
        <v>2362</v>
      </c>
      <c r="E1161" t="s">
        <v>2409</v>
      </c>
      <c r="F1161">
        <v>4</v>
      </c>
      <c r="G1161" s="7">
        <v>466.7</v>
      </c>
      <c r="H1161" s="3" t="s">
        <v>2766</v>
      </c>
      <c r="I1161" s="3" t="s">
        <v>3065</v>
      </c>
      <c r="J1161" s="3" t="s">
        <v>3072</v>
      </c>
      <c r="K1161" s="3" t="s">
        <v>4234</v>
      </c>
      <c r="L1161" s="3">
        <v>8</v>
      </c>
      <c r="N1161" s="3" t="s">
        <v>4278</v>
      </c>
      <c r="O1161" s="7">
        <v>1866.8</v>
      </c>
      <c r="P1161" s="3">
        <f t="shared" si="29"/>
        <v>1866.8</v>
      </c>
    </row>
    <row r="1162" spans="1:16" x14ac:dyDescent="0.35">
      <c r="A1162" t="s">
        <v>1174</v>
      </c>
      <c r="B1162" s="5">
        <v>45539</v>
      </c>
      <c r="C1162" t="s">
        <v>2363</v>
      </c>
      <c r="E1162" t="s">
        <v>2409</v>
      </c>
      <c r="F1162">
        <v>1</v>
      </c>
      <c r="G1162" s="7">
        <v>541.64</v>
      </c>
      <c r="H1162" s="3" t="s">
        <v>2777</v>
      </c>
      <c r="I1162" s="3" t="s">
        <v>3065</v>
      </c>
      <c r="J1162" s="3" t="s">
        <v>3070</v>
      </c>
      <c r="K1162" s="3" t="s">
        <v>4235</v>
      </c>
      <c r="L1162" s="3">
        <v>5</v>
      </c>
      <c r="M1162" s="10" t="s">
        <v>4275</v>
      </c>
      <c r="N1162" s="3" t="s">
        <v>4280</v>
      </c>
      <c r="O1162" s="7">
        <v>541.64</v>
      </c>
      <c r="P1162" s="3">
        <f t="shared" si="29"/>
        <v>541.64</v>
      </c>
    </row>
    <row r="1163" spans="1:16" x14ac:dyDescent="0.35">
      <c r="A1163" t="s">
        <v>1175</v>
      </c>
      <c r="B1163" s="5">
        <v>45215</v>
      </c>
      <c r="C1163" t="s">
        <v>2364</v>
      </c>
      <c r="E1163" t="s">
        <v>2404</v>
      </c>
      <c r="F1163">
        <v>1</v>
      </c>
      <c r="G1163" s="7">
        <v>11.39</v>
      </c>
      <c r="H1163" s="3" t="s">
        <v>2693</v>
      </c>
      <c r="I1163" s="3" t="s">
        <v>3069</v>
      </c>
      <c r="J1163" s="3" t="s">
        <v>3071</v>
      </c>
      <c r="K1163" s="3" t="s">
        <v>4236</v>
      </c>
      <c r="L1163" s="3">
        <v>6</v>
      </c>
      <c r="M1163" s="10" t="s">
        <v>4277</v>
      </c>
      <c r="N1163" s="3" t="s">
        <v>4280</v>
      </c>
      <c r="O1163" s="7">
        <v>11.39</v>
      </c>
      <c r="P1163" s="3">
        <f t="shared" si="29"/>
        <v>11.39</v>
      </c>
    </row>
    <row r="1164" spans="1:16" x14ac:dyDescent="0.35">
      <c r="A1164" t="s">
        <v>1176</v>
      </c>
      <c r="B1164" s="5">
        <v>45727</v>
      </c>
      <c r="C1164" t="s">
        <v>2365</v>
      </c>
      <c r="E1164" t="s">
        <v>2404</v>
      </c>
      <c r="F1164">
        <v>2</v>
      </c>
      <c r="G1164" s="7">
        <v>224.37</v>
      </c>
      <c r="H1164" s="3" t="s">
        <v>3049</v>
      </c>
      <c r="I1164" s="3" t="s">
        <v>3065</v>
      </c>
      <c r="J1164" s="3" t="s">
        <v>3073</v>
      </c>
      <c r="K1164" s="3" t="s">
        <v>4237</v>
      </c>
      <c r="L1164" s="3">
        <v>3</v>
      </c>
      <c r="M1164" s="10" t="s">
        <v>4277</v>
      </c>
      <c r="N1164" s="3" t="s">
        <v>4279</v>
      </c>
      <c r="O1164" s="7">
        <v>448.74</v>
      </c>
      <c r="P1164" s="3">
        <f t="shared" si="29"/>
        <v>448.74</v>
      </c>
    </row>
    <row r="1165" spans="1:16" x14ac:dyDescent="0.35">
      <c r="A1165" t="s">
        <v>1177</v>
      </c>
      <c r="B1165" s="5">
        <v>45454</v>
      </c>
      <c r="C1165" t="s">
        <v>2366</v>
      </c>
      <c r="E1165" t="s">
        <v>2408</v>
      </c>
      <c r="F1165">
        <v>3</v>
      </c>
      <c r="G1165" s="7">
        <v>306.29000000000002</v>
      </c>
      <c r="H1165" s="3" t="s">
        <v>3050</v>
      </c>
      <c r="I1165" s="3" t="s">
        <v>3067</v>
      </c>
      <c r="J1165" s="3" t="s">
        <v>3072</v>
      </c>
      <c r="K1165" s="3" t="s">
        <v>4238</v>
      </c>
      <c r="L1165" s="3">
        <v>7</v>
      </c>
      <c r="M1165" s="10" t="s">
        <v>4277</v>
      </c>
      <c r="N1165" s="3" t="s">
        <v>4278</v>
      </c>
      <c r="O1165" s="7">
        <v>918.87000000000012</v>
      </c>
      <c r="P1165" s="3">
        <f t="shared" si="29"/>
        <v>918.87000000000012</v>
      </c>
    </row>
    <row r="1166" spans="1:16" x14ac:dyDescent="0.35">
      <c r="A1166" t="s">
        <v>1178</v>
      </c>
      <c r="B1166" s="5">
        <v>45299</v>
      </c>
      <c r="C1166" t="s">
        <v>2367</v>
      </c>
      <c r="E1166" t="s">
        <v>2405</v>
      </c>
      <c r="F1166">
        <v>5</v>
      </c>
      <c r="G1166" s="7">
        <v>315.57</v>
      </c>
      <c r="H1166" s="3" t="s">
        <v>2826</v>
      </c>
      <c r="I1166" s="3" t="s">
        <v>3065</v>
      </c>
      <c r="J1166" s="3" t="s">
        <v>3073</v>
      </c>
      <c r="K1166" s="3" t="s">
        <v>4239</v>
      </c>
      <c r="L1166" s="3">
        <v>6</v>
      </c>
      <c r="M1166" s="10" t="s">
        <v>4277</v>
      </c>
      <c r="N1166" s="3" t="s">
        <v>4280</v>
      </c>
      <c r="O1166" s="7">
        <v>1577.85</v>
      </c>
      <c r="P1166" s="3">
        <f t="shared" si="29"/>
        <v>1577.85</v>
      </c>
    </row>
    <row r="1167" spans="1:16" x14ac:dyDescent="0.35">
      <c r="A1167" t="s">
        <v>1179</v>
      </c>
      <c r="B1167" s="5">
        <v>45121</v>
      </c>
      <c r="C1167" t="s">
        <v>2368</v>
      </c>
      <c r="E1167" t="s">
        <v>2406</v>
      </c>
      <c r="F1167">
        <v>3</v>
      </c>
      <c r="G1167" s="7">
        <v>223.79</v>
      </c>
      <c r="H1167" s="3" t="s">
        <v>3051</v>
      </c>
      <c r="I1167" s="3" t="s">
        <v>3065</v>
      </c>
      <c r="J1167" s="3" t="s">
        <v>3074</v>
      </c>
      <c r="K1167" s="3" t="s">
        <v>4240</v>
      </c>
      <c r="L1167" s="3">
        <v>3</v>
      </c>
      <c r="N1167" s="3" t="s">
        <v>4282</v>
      </c>
      <c r="O1167" s="7">
        <v>671.37</v>
      </c>
      <c r="P1167" s="3">
        <f t="shared" si="29"/>
        <v>671.37</v>
      </c>
    </row>
    <row r="1168" spans="1:16" x14ac:dyDescent="0.35">
      <c r="A1168" t="s">
        <v>1180</v>
      </c>
      <c r="B1168" s="5">
        <v>45138</v>
      </c>
      <c r="C1168" t="s">
        <v>2369</v>
      </c>
      <c r="E1168" t="s">
        <v>2406</v>
      </c>
      <c r="F1168">
        <v>3</v>
      </c>
      <c r="G1168" s="7">
        <v>324.47000000000003</v>
      </c>
      <c r="H1168" s="3" t="s">
        <v>2486</v>
      </c>
      <c r="I1168" s="3" t="s">
        <v>3069</v>
      </c>
      <c r="J1168" s="3" t="s">
        <v>3073</v>
      </c>
      <c r="K1168" s="3" t="s">
        <v>4241</v>
      </c>
      <c r="L1168" s="3">
        <v>4</v>
      </c>
      <c r="M1168" s="10" t="s">
        <v>4277</v>
      </c>
      <c r="N1168" s="3" t="s">
        <v>4280</v>
      </c>
      <c r="O1168" s="7">
        <v>973.41000000000008</v>
      </c>
      <c r="P1168" s="3">
        <f t="shared" si="29"/>
        <v>973.41000000000008</v>
      </c>
    </row>
    <row r="1169" spans="1:16" x14ac:dyDescent="0.35">
      <c r="A1169" t="s">
        <v>1181</v>
      </c>
      <c r="B1169" s="5">
        <v>45216</v>
      </c>
      <c r="C1169" t="s">
        <v>2370</v>
      </c>
      <c r="E1169" t="s">
        <v>2407</v>
      </c>
      <c r="F1169">
        <v>2</v>
      </c>
      <c r="G1169" s="7">
        <v>92.87</v>
      </c>
      <c r="H1169" s="3" t="s">
        <v>2645</v>
      </c>
      <c r="I1169" s="3" t="s">
        <v>3067</v>
      </c>
      <c r="J1169" s="3" t="s">
        <v>3074</v>
      </c>
      <c r="K1169" s="3" t="s">
        <v>4242</v>
      </c>
      <c r="L1169" s="3">
        <v>5</v>
      </c>
      <c r="M1169" s="10" t="s">
        <v>4276</v>
      </c>
      <c r="N1169" s="3" t="s">
        <v>4281</v>
      </c>
      <c r="O1169" s="7">
        <v>185.74</v>
      </c>
      <c r="P1169" s="3">
        <f t="shared" si="29"/>
        <v>185.74</v>
      </c>
    </row>
    <row r="1170" spans="1:16" x14ac:dyDescent="0.35">
      <c r="A1170" t="s">
        <v>1182</v>
      </c>
      <c r="B1170" s="5">
        <v>45024</v>
      </c>
      <c r="C1170" t="s">
        <v>2371</v>
      </c>
      <c r="E1170" t="s">
        <v>2408</v>
      </c>
      <c r="F1170">
        <v>2</v>
      </c>
      <c r="G1170" s="7">
        <v>331.42</v>
      </c>
      <c r="H1170" s="3" t="s">
        <v>3052</v>
      </c>
      <c r="I1170" s="3" t="s">
        <v>3067</v>
      </c>
      <c r="J1170" s="3" t="s">
        <v>3073</v>
      </c>
      <c r="K1170" s="3" t="s">
        <v>4243</v>
      </c>
      <c r="L1170" s="3">
        <v>6</v>
      </c>
      <c r="M1170" s="10" t="s">
        <v>4277</v>
      </c>
      <c r="N1170" s="3" t="s">
        <v>4282</v>
      </c>
      <c r="O1170" s="7">
        <v>662.84</v>
      </c>
      <c r="P1170" s="3">
        <f t="shared" si="29"/>
        <v>662.84</v>
      </c>
    </row>
    <row r="1171" spans="1:16" x14ac:dyDescent="0.35">
      <c r="A1171" t="s">
        <v>1183</v>
      </c>
      <c r="B1171" s="5">
        <v>45649</v>
      </c>
      <c r="C1171" t="s">
        <v>2372</v>
      </c>
      <c r="E1171" t="s">
        <v>2406</v>
      </c>
      <c r="F1171">
        <v>1</v>
      </c>
      <c r="G1171" s="7">
        <v>525.42999999999995</v>
      </c>
      <c r="H1171" s="3" t="s">
        <v>3053</v>
      </c>
      <c r="I1171" s="3" t="s">
        <v>3069</v>
      </c>
      <c r="J1171" s="3" t="s">
        <v>3071</v>
      </c>
      <c r="K1171" s="3" t="s">
        <v>4244</v>
      </c>
      <c r="L1171" s="3">
        <v>2</v>
      </c>
      <c r="M1171" s="10" t="s">
        <v>4275</v>
      </c>
      <c r="N1171" s="3" t="s">
        <v>4278</v>
      </c>
      <c r="O1171" s="7">
        <v>525.42999999999995</v>
      </c>
      <c r="P1171" s="3">
        <f t="shared" si="29"/>
        <v>525.42999999999995</v>
      </c>
    </row>
    <row r="1172" spans="1:16" x14ac:dyDescent="0.35">
      <c r="A1172" t="s">
        <v>1184</v>
      </c>
      <c r="B1172" s="5">
        <v>45141</v>
      </c>
      <c r="C1172" t="s">
        <v>2373</v>
      </c>
      <c r="E1172" t="s">
        <v>2407</v>
      </c>
      <c r="F1172">
        <v>2</v>
      </c>
      <c r="G1172" s="7">
        <v>697.19</v>
      </c>
      <c r="H1172" s="3" t="s">
        <v>2607</v>
      </c>
      <c r="I1172" s="3" t="s">
        <v>3069</v>
      </c>
      <c r="J1172" s="3" t="s">
        <v>3072</v>
      </c>
      <c r="K1172" s="3" t="s">
        <v>4245</v>
      </c>
      <c r="L1172" s="3">
        <v>7</v>
      </c>
      <c r="M1172" s="10" t="s">
        <v>4276</v>
      </c>
      <c r="N1172" s="3" t="s">
        <v>4280</v>
      </c>
      <c r="O1172" s="7">
        <v>1394.38</v>
      </c>
      <c r="P1172" s="3">
        <f t="shared" si="29"/>
        <v>1394.38</v>
      </c>
    </row>
    <row r="1173" spans="1:16" x14ac:dyDescent="0.35">
      <c r="A1173" t="s">
        <v>1185</v>
      </c>
      <c r="B1173" s="5">
        <v>45166</v>
      </c>
      <c r="C1173" t="s">
        <v>2374</v>
      </c>
      <c r="E1173" t="s">
        <v>2404</v>
      </c>
      <c r="F1173">
        <v>4</v>
      </c>
      <c r="G1173" s="7">
        <v>518.4</v>
      </c>
      <c r="H1173" s="3" t="s">
        <v>3054</v>
      </c>
      <c r="I1173" s="3" t="s">
        <v>3067</v>
      </c>
      <c r="J1173" s="3" t="s">
        <v>3073</v>
      </c>
      <c r="K1173" s="3" t="s">
        <v>4246</v>
      </c>
      <c r="L1173" s="3">
        <v>7</v>
      </c>
      <c r="M1173" s="10" t="s">
        <v>4275</v>
      </c>
      <c r="N1173" s="3" t="s">
        <v>4281</v>
      </c>
      <c r="O1173" s="7">
        <v>2073.6</v>
      </c>
      <c r="P1173" s="3">
        <f t="shared" si="29"/>
        <v>2073.6</v>
      </c>
    </row>
    <row r="1174" spans="1:16" x14ac:dyDescent="0.35">
      <c r="A1174" t="s">
        <v>1186</v>
      </c>
      <c r="B1174" s="5">
        <v>45692</v>
      </c>
      <c r="C1174" t="s">
        <v>2375</v>
      </c>
      <c r="E1174" t="s">
        <v>2409</v>
      </c>
      <c r="F1174">
        <v>3</v>
      </c>
      <c r="G1174" s="7">
        <v>131.96</v>
      </c>
      <c r="H1174" s="3" t="s">
        <v>2793</v>
      </c>
      <c r="I1174" s="3" t="s">
        <v>3067</v>
      </c>
      <c r="J1174" s="3" t="s">
        <v>3074</v>
      </c>
      <c r="K1174" s="3" t="s">
        <v>4247</v>
      </c>
      <c r="L1174" s="3">
        <v>8</v>
      </c>
      <c r="N1174" s="3" t="s">
        <v>4278</v>
      </c>
      <c r="O1174" s="7">
        <v>395.88</v>
      </c>
      <c r="P1174" s="3">
        <f t="shared" si="29"/>
        <v>395.88</v>
      </c>
    </row>
    <row r="1175" spans="1:16" x14ac:dyDescent="0.35">
      <c r="A1175" t="s">
        <v>1187</v>
      </c>
      <c r="B1175" s="5">
        <v>45569</v>
      </c>
      <c r="C1175" t="s">
        <v>2376</v>
      </c>
      <c r="E1175" t="s">
        <v>2403</v>
      </c>
      <c r="F1175">
        <v>1</v>
      </c>
      <c r="G1175" s="7">
        <v>208.36</v>
      </c>
      <c r="H1175" s="3" t="s">
        <v>2891</v>
      </c>
      <c r="I1175" s="3" t="s">
        <v>3066</v>
      </c>
      <c r="J1175" s="3" t="s">
        <v>3070</v>
      </c>
      <c r="K1175" s="3" t="s">
        <v>4248</v>
      </c>
      <c r="L1175" s="3">
        <v>4</v>
      </c>
      <c r="M1175" s="10" t="s">
        <v>4276</v>
      </c>
      <c r="N1175" s="3" t="s">
        <v>4280</v>
      </c>
      <c r="O1175" s="7">
        <v>208.36</v>
      </c>
      <c r="P1175" s="3">
        <f t="shared" si="29"/>
        <v>208.36</v>
      </c>
    </row>
    <row r="1176" spans="1:16" x14ac:dyDescent="0.35">
      <c r="A1176" t="s">
        <v>1188</v>
      </c>
      <c r="B1176" s="5">
        <v>45257</v>
      </c>
      <c r="C1176" t="s">
        <v>2377</v>
      </c>
      <c r="E1176" t="s">
        <v>2407</v>
      </c>
      <c r="F1176">
        <v>3</v>
      </c>
      <c r="G1176" s="7">
        <v>222.34</v>
      </c>
      <c r="H1176" s="3" t="s">
        <v>3055</v>
      </c>
      <c r="I1176" s="3" t="s">
        <v>3067</v>
      </c>
      <c r="J1176" s="3" t="s">
        <v>3072</v>
      </c>
      <c r="K1176" s="3" t="s">
        <v>4249</v>
      </c>
      <c r="L1176" s="3">
        <v>5</v>
      </c>
      <c r="M1176" s="10" t="s">
        <v>4277</v>
      </c>
      <c r="N1176" s="3" t="s">
        <v>4280</v>
      </c>
      <c r="O1176" s="7">
        <v>667.02</v>
      </c>
      <c r="P1176" s="3">
        <f t="shared" si="29"/>
        <v>667.02</v>
      </c>
    </row>
    <row r="1177" spans="1:16" x14ac:dyDescent="0.35">
      <c r="A1177" t="s">
        <v>1189</v>
      </c>
      <c r="B1177" s="5">
        <v>45545</v>
      </c>
      <c r="C1177" t="s">
        <v>2378</v>
      </c>
      <c r="E1177" t="s">
        <v>2407</v>
      </c>
      <c r="F1177">
        <v>3</v>
      </c>
      <c r="G1177" s="7">
        <v>91.74</v>
      </c>
      <c r="H1177" s="3" t="s">
        <v>2666</v>
      </c>
      <c r="I1177" s="3" t="s">
        <v>3065</v>
      </c>
      <c r="J1177" s="3" t="s">
        <v>3072</v>
      </c>
      <c r="K1177" s="3" t="s">
        <v>4250</v>
      </c>
      <c r="L1177" s="3">
        <v>8</v>
      </c>
      <c r="M1177" s="10" t="s">
        <v>4276</v>
      </c>
      <c r="N1177" s="3" t="s">
        <v>4279</v>
      </c>
      <c r="O1177" s="7">
        <v>275.22000000000003</v>
      </c>
      <c r="P1177" s="3">
        <f t="shared" si="29"/>
        <v>275.21999999999997</v>
      </c>
    </row>
    <row r="1178" spans="1:16" x14ac:dyDescent="0.35">
      <c r="A1178" t="s">
        <v>1190</v>
      </c>
      <c r="B1178" s="5">
        <v>45151</v>
      </c>
      <c r="C1178" t="s">
        <v>2379</v>
      </c>
      <c r="E1178" t="s">
        <v>2405</v>
      </c>
      <c r="F1178">
        <v>2</v>
      </c>
      <c r="G1178" s="7">
        <v>213.83</v>
      </c>
      <c r="H1178" s="3" t="s">
        <v>3056</v>
      </c>
      <c r="I1178" s="3" t="s">
        <v>3065</v>
      </c>
      <c r="J1178" s="3" t="s">
        <v>3071</v>
      </c>
      <c r="K1178" s="3" t="s">
        <v>4251</v>
      </c>
      <c r="L1178" s="3">
        <v>2</v>
      </c>
      <c r="M1178" s="10" t="s">
        <v>4277</v>
      </c>
      <c r="N1178" s="3" t="s">
        <v>4280</v>
      </c>
      <c r="O1178" s="7">
        <v>427.66</v>
      </c>
      <c r="P1178" s="3">
        <f t="shared" si="29"/>
        <v>427.66</v>
      </c>
    </row>
    <row r="1179" spans="1:16" x14ac:dyDescent="0.35">
      <c r="A1179" t="s">
        <v>1191</v>
      </c>
      <c r="B1179" s="5">
        <v>45043</v>
      </c>
      <c r="C1179" t="s">
        <v>2380</v>
      </c>
      <c r="E1179" t="s">
        <v>2407</v>
      </c>
      <c r="F1179">
        <v>1</v>
      </c>
      <c r="G1179" s="7">
        <v>127.55</v>
      </c>
      <c r="H1179" s="3" t="s">
        <v>2749</v>
      </c>
      <c r="I1179" s="3" t="s">
        <v>3069</v>
      </c>
      <c r="J1179" s="3" t="s">
        <v>3070</v>
      </c>
      <c r="K1179" s="3" t="s">
        <v>4252</v>
      </c>
      <c r="L1179" s="3">
        <v>3</v>
      </c>
      <c r="M1179" s="10" t="s">
        <v>4275</v>
      </c>
      <c r="N1179" s="3" t="s">
        <v>4279</v>
      </c>
      <c r="O1179" s="7">
        <v>127.55</v>
      </c>
      <c r="P1179" s="3">
        <f t="shared" si="29"/>
        <v>127.55</v>
      </c>
    </row>
    <row r="1180" spans="1:16" x14ac:dyDescent="0.35">
      <c r="A1180" t="s">
        <v>1192</v>
      </c>
      <c r="B1180" s="5">
        <v>45543</v>
      </c>
      <c r="C1180" t="s">
        <v>2381</v>
      </c>
      <c r="E1180" t="s">
        <v>2403</v>
      </c>
      <c r="F1180">
        <v>1</v>
      </c>
      <c r="G1180" s="7">
        <v>70.239999999999995</v>
      </c>
      <c r="H1180" s="3" t="s">
        <v>2616</v>
      </c>
      <c r="I1180" s="3" t="s">
        <v>3067</v>
      </c>
      <c r="J1180" s="3" t="s">
        <v>3071</v>
      </c>
      <c r="K1180" s="3" t="s">
        <v>4253</v>
      </c>
      <c r="L1180" s="3">
        <v>4</v>
      </c>
      <c r="M1180" s="10" t="s">
        <v>4276</v>
      </c>
      <c r="N1180" s="3" t="s">
        <v>4282</v>
      </c>
      <c r="O1180" s="7">
        <v>70.239999999999995</v>
      </c>
      <c r="P1180" s="3">
        <f t="shared" si="29"/>
        <v>70.239999999999995</v>
      </c>
    </row>
    <row r="1181" spans="1:16" x14ac:dyDescent="0.35">
      <c r="A1181" t="s">
        <v>1193</v>
      </c>
      <c r="B1181" s="5">
        <v>44934</v>
      </c>
      <c r="C1181" t="s">
        <v>2382</v>
      </c>
      <c r="E1181" t="s">
        <v>2408</v>
      </c>
      <c r="F1181">
        <v>5</v>
      </c>
      <c r="G1181" s="7">
        <v>518.54999999999995</v>
      </c>
      <c r="H1181" s="3" t="s">
        <v>2709</v>
      </c>
      <c r="I1181" s="3" t="s">
        <v>3067</v>
      </c>
      <c r="J1181" s="3" t="s">
        <v>3071</v>
      </c>
      <c r="K1181" s="3" t="s">
        <v>4254</v>
      </c>
      <c r="L1181" s="3">
        <v>6</v>
      </c>
      <c r="M1181" s="10" t="s">
        <v>4277</v>
      </c>
      <c r="N1181" s="3" t="s">
        <v>4278</v>
      </c>
      <c r="O1181" s="7">
        <v>2592.75</v>
      </c>
      <c r="P1181" s="3">
        <f t="shared" si="29"/>
        <v>2592.75</v>
      </c>
    </row>
    <row r="1182" spans="1:16" x14ac:dyDescent="0.35">
      <c r="A1182" t="s">
        <v>1194</v>
      </c>
      <c r="B1182" s="5">
        <v>45230</v>
      </c>
      <c r="C1182" t="s">
        <v>2383</v>
      </c>
      <c r="E1182" t="s">
        <v>2406</v>
      </c>
      <c r="F1182">
        <v>4</v>
      </c>
      <c r="G1182" s="7">
        <v>298.36</v>
      </c>
      <c r="H1182" s="3" t="s">
        <v>2805</v>
      </c>
      <c r="I1182" s="3" t="s">
        <v>3065</v>
      </c>
      <c r="J1182" s="3" t="s">
        <v>3074</v>
      </c>
      <c r="K1182" s="3" t="s">
        <v>4255</v>
      </c>
      <c r="L1182" s="3">
        <v>8</v>
      </c>
      <c r="M1182" s="10" t="s">
        <v>4276</v>
      </c>
      <c r="N1182" s="3" t="s">
        <v>4282</v>
      </c>
      <c r="O1182" s="7">
        <v>1193.44</v>
      </c>
      <c r="P1182" s="3">
        <f t="shared" si="29"/>
        <v>1193.44</v>
      </c>
    </row>
    <row r="1183" spans="1:16" x14ac:dyDescent="0.35">
      <c r="A1183" t="s">
        <v>1195</v>
      </c>
      <c r="B1183" s="5">
        <v>45134</v>
      </c>
      <c r="C1183" t="s">
        <v>2384</v>
      </c>
      <c r="E1183" t="s">
        <v>2409</v>
      </c>
      <c r="F1183">
        <v>3</v>
      </c>
      <c r="G1183" s="7">
        <v>158.74</v>
      </c>
      <c r="H1183" s="3" t="s">
        <v>2694</v>
      </c>
      <c r="I1183" s="3" t="s">
        <v>3066</v>
      </c>
      <c r="J1183" s="3" t="s">
        <v>3074</v>
      </c>
      <c r="K1183" s="3" t="s">
        <v>4256</v>
      </c>
      <c r="L1183" s="3">
        <v>7</v>
      </c>
      <c r="M1183" s="10" t="s">
        <v>4276</v>
      </c>
      <c r="N1183" s="3" t="s">
        <v>4278</v>
      </c>
      <c r="O1183" s="7">
        <v>476.22</v>
      </c>
      <c r="P1183" s="3">
        <f t="shared" si="29"/>
        <v>476.22</v>
      </c>
    </row>
    <row r="1184" spans="1:16" x14ac:dyDescent="0.35">
      <c r="A1184" t="s">
        <v>1196</v>
      </c>
      <c r="B1184" s="5">
        <v>45822</v>
      </c>
      <c r="C1184" t="s">
        <v>2385</v>
      </c>
      <c r="E1184" t="s">
        <v>2406</v>
      </c>
      <c r="F1184">
        <v>2</v>
      </c>
      <c r="G1184" s="7">
        <v>420.29</v>
      </c>
      <c r="H1184" s="3" t="s">
        <v>2835</v>
      </c>
      <c r="I1184" s="3" t="s">
        <v>3068</v>
      </c>
      <c r="J1184" s="3" t="s">
        <v>3072</v>
      </c>
      <c r="K1184" s="3" t="s">
        <v>4257</v>
      </c>
      <c r="L1184" s="3">
        <v>3</v>
      </c>
      <c r="M1184" s="10" t="s">
        <v>4275</v>
      </c>
      <c r="N1184" s="3" t="s">
        <v>4282</v>
      </c>
      <c r="O1184" s="7">
        <v>840.58</v>
      </c>
      <c r="P1184" s="3">
        <f t="shared" si="29"/>
        <v>840.58</v>
      </c>
    </row>
    <row r="1185" spans="1:16" x14ac:dyDescent="0.35">
      <c r="A1185" t="s">
        <v>1197</v>
      </c>
      <c r="B1185" s="5">
        <v>45021</v>
      </c>
      <c r="C1185" t="s">
        <v>2386</v>
      </c>
      <c r="E1185" t="s">
        <v>2409</v>
      </c>
      <c r="F1185">
        <v>1</v>
      </c>
      <c r="G1185" s="7">
        <v>281.52</v>
      </c>
      <c r="H1185" s="3" t="s">
        <v>2633</v>
      </c>
      <c r="I1185" s="3" t="s">
        <v>3068</v>
      </c>
      <c r="J1185" s="3" t="s">
        <v>3070</v>
      </c>
      <c r="K1185" s="3" t="s">
        <v>4258</v>
      </c>
      <c r="L1185" s="3">
        <v>6</v>
      </c>
      <c r="M1185" s="10" t="s">
        <v>4277</v>
      </c>
      <c r="N1185" s="3" t="s">
        <v>4279</v>
      </c>
      <c r="O1185" s="7">
        <v>281.52</v>
      </c>
      <c r="P1185" s="3">
        <f t="shared" si="29"/>
        <v>281.52</v>
      </c>
    </row>
    <row r="1186" spans="1:16" x14ac:dyDescent="0.35">
      <c r="A1186" t="s">
        <v>1198</v>
      </c>
      <c r="B1186" s="5">
        <v>45196</v>
      </c>
      <c r="C1186" t="s">
        <v>2387</v>
      </c>
      <c r="E1186" t="s">
        <v>2408</v>
      </c>
      <c r="F1186">
        <v>1</v>
      </c>
      <c r="G1186" s="7">
        <v>204.08</v>
      </c>
      <c r="H1186" s="3" t="s">
        <v>2938</v>
      </c>
      <c r="I1186" s="3" t="s">
        <v>3068</v>
      </c>
      <c r="J1186" s="3" t="s">
        <v>3072</v>
      </c>
      <c r="K1186" s="3" t="s">
        <v>4259</v>
      </c>
      <c r="L1186" s="3">
        <v>4</v>
      </c>
      <c r="N1186" s="3" t="s">
        <v>4282</v>
      </c>
      <c r="O1186" s="7">
        <v>204.08</v>
      </c>
      <c r="P1186" s="3">
        <f t="shared" si="29"/>
        <v>204.08</v>
      </c>
    </row>
    <row r="1187" spans="1:16" x14ac:dyDescent="0.35">
      <c r="A1187" t="s">
        <v>1199</v>
      </c>
      <c r="B1187" s="5">
        <v>45481</v>
      </c>
      <c r="C1187" t="s">
        <v>2388</v>
      </c>
      <c r="E1187" t="s">
        <v>2406</v>
      </c>
      <c r="F1187">
        <v>1</v>
      </c>
      <c r="G1187" s="7">
        <v>343.31</v>
      </c>
      <c r="H1187" s="3" t="s">
        <v>3057</v>
      </c>
      <c r="I1187" s="3" t="s">
        <v>3068</v>
      </c>
      <c r="J1187" s="3" t="s">
        <v>3072</v>
      </c>
      <c r="K1187" s="3" t="s">
        <v>4260</v>
      </c>
      <c r="L1187" s="3">
        <v>6</v>
      </c>
      <c r="M1187" s="10" t="s">
        <v>4275</v>
      </c>
      <c r="N1187" s="3" t="s">
        <v>4282</v>
      </c>
      <c r="O1187" s="7">
        <v>343.31</v>
      </c>
      <c r="P1187" s="3">
        <f t="shared" si="29"/>
        <v>343.31</v>
      </c>
    </row>
    <row r="1188" spans="1:16" x14ac:dyDescent="0.35">
      <c r="A1188" t="s">
        <v>1200</v>
      </c>
      <c r="B1188" s="5">
        <v>45248</v>
      </c>
      <c r="C1188" t="s">
        <v>2389</v>
      </c>
      <c r="E1188" t="s">
        <v>2403</v>
      </c>
      <c r="F1188">
        <v>1</v>
      </c>
      <c r="G1188" s="7">
        <v>163.32</v>
      </c>
      <c r="H1188" s="3" t="s">
        <v>3058</v>
      </c>
      <c r="I1188" s="3" t="s">
        <v>3069</v>
      </c>
      <c r="J1188" s="3" t="s">
        <v>3070</v>
      </c>
      <c r="K1188" s="3" t="s">
        <v>4261</v>
      </c>
      <c r="L1188" s="3">
        <v>6</v>
      </c>
      <c r="M1188" s="10" t="s">
        <v>4277</v>
      </c>
      <c r="N1188" s="3" t="s">
        <v>4281</v>
      </c>
      <c r="O1188" s="7">
        <v>163.32</v>
      </c>
      <c r="P1188" s="3">
        <f t="shared" si="29"/>
        <v>163.32</v>
      </c>
    </row>
    <row r="1189" spans="1:16" x14ac:dyDescent="0.35">
      <c r="A1189" t="s">
        <v>1201</v>
      </c>
      <c r="B1189" s="5">
        <v>45364</v>
      </c>
      <c r="C1189" t="s">
        <v>2390</v>
      </c>
      <c r="E1189" t="s">
        <v>2409</v>
      </c>
      <c r="F1189">
        <v>2</v>
      </c>
      <c r="G1189" s="7">
        <v>184.6</v>
      </c>
      <c r="H1189" s="3" t="s">
        <v>2613</v>
      </c>
      <c r="I1189" s="3" t="s">
        <v>3068</v>
      </c>
      <c r="J1189" s="3" t="s">
        <v>3073</v>
      </c>
      <c r="K1189" s="3" t="s">
        <v>4262</v>
      </c>
      <c r="L1189" s="3">
        <v>7</v>
      </c>
      <c r="M1189" s="10" t="s">
        <v>4277</v>
      </c>
      <c r="N1189" s="3" t="s">
        <v>4280</v>
      </c>
      <c r="O1189" s="7">
        <v>369.2</v>
      </c>
      <c r="P1189" s="3">
        <f t="shared" si="29"/>
        <v>369.2</v>
      </c>
    </row>
    <row r="1190" spans="1:16" x14ac:dyDescent="0.35">
      <c r="A1190" t="s">
        <v>1202</v>
      </c>
      <c r="B1190" s="5">
        <v>45206</v>
      </c>
      <c r="C1190" t="s">
        <v>2391</v>
      </c>
      <c r="E1190" t="s">
        <v>2407</v>
      </c>
      <c r="F1190">
        <v>2</v>
      </c>
      <c r="G1190" s="7">
        <v>371.29</v>
      </c>
      <c r="H1190" s="3" t="s">
        <v>3059</v>
      </c>
      <c r="I1190" s="3" t="s">
        <v>3068</v>
      </c>
      <c r="J1190" s="3" t="s">
        <v>3070</v>
      </c>
      <c r="K1190" s="3" t="s">
        <v>4263</v>
      </c>
      <c r="L1190" s="3">
        <v>5</v>
      </c>
      <c r="M1190" s="10" t="s">
        <v>4277</v>
      </c>
      <c r="N1190" s="3" t="s">
        <v>4281</v>
      </c>
      <c r="O1190" s="7">
        <v>742.58</v>
      </c>
      <c r="P1190" s="3">
        <f t="shared" si="29"/>
        <v>742.58</v>
      </c>
    </row>
    <row r="1191" spans="1:16" x14ac:dyDescent="0.35">
      <c r="A1191" t="s">
        <v>1203</v>
      </c>
      <c r="B1191" s="5">
        <v>45521</v>
      </c>
      <c r="C1191" t="s">
        <v>2392</v>
      </c>
      <c r="E1191" t="s">
        <v>2405</v>
      </c>
      <c r="F1191">
        <v>5</v>
      </c>
      <c r="G1191" s="7">
        <v>389.22</v>
      </c>
      <c r="H1191" s="3" t="s">
        <v>3060</v>
      </c>
      <c r="I1191" s="3" t="s">
        <v>3069</v>
      </c>
      <c r="J1191" s="3" t="s">
        <v>3071</v>
      </c>
      <c r="K1191" s="3" t="s">
        <v>4264</v>
      </c>
      <c r="L1191" s="3">
        <v>7</v>
      </c>
      <c r="N1191" s="3" t="s">
        <v>4279</v>
      </c>
      <c r="O1191" s="7">
        <v>1946.1</v>
      </c>
      <c r="P1191" s="3">
        <f t="shared" si="29"/>
        <v>1946.1000000000001</v>
      </c>
    </row>
    <row r="1192" spans="1:16" x14ac:dyDescent="0.35">
      <c r="A1192" t="s">
        <v>1204</v>
      </c>
      <c r="B1192" s="5">
        <v>45816</v>
      </c>
      <c r="C1192" t="s">
        <v>2393</v>
      </c>
      <c r="E1192" t="s">
        <v>2409</v>
      </c>
      <c r="F1192">
        <v>3</v>
      </c>
      <c r="G1192" s="7">
        <v>616.39</v>
      </c>
      <c r="H1192" s="3" t="s">
        <v>3061</v>
      </c>
      <c r="I1192" s="3" t="s">
        <v>3067</v>
      </c>
      <c r="J1192" s="3" t="s">
        <v>3070</v>
      </c>
      <c r="K1192" s="3" t="s">
        <v>4265</v>
      </c>
      <c r="L1192" s="3">
        <v>6</v>
      </c>
      <c r="M1192" s="10" t="s">
        <v>4276</v>
      </c>
      <c r="N1192" s="3" t="s">
        <v>4278</v>
      </c>
      <c r="O1192" s="7">
        <v>1849.17</v>
      </c>
      <c r="P1192" s="3">
        <f t="shared" si="29"/>
        <v>1849.17</v>
      </c>
    </row>
    <row r="1193" spans="1:16" x14ac:dyDescent="0.35">
      <c r="A1193" t="s">
        <v>1205</v>
      </c>
      <c r="B1193" s="5">
        <v>45698</v>
      </c>
      <c r="C1193" t="s">
        <v>2394</v>
      </c>
      <c r="E1193" t="s">
        <v>2409</v>
      </c>
      <c r="F1193">
        <v>4</v>
      </c>
      <c r="G1193" s="7">
        <v>376.43</v>
      </c>
      <c r="H1193" s="3" t="s">
        <v>2841</v>
      </c>
      <c r="I1193" s="3" t="s">
        <v>3068</v>
      </c>
      <c r="J1193" s="3" t="s">
        <v>3074</v>
      </c>
      <c r="K1193" s="3" t="s">
        <v>4266</v>
      </c>
      <c r="L1193" s="3">
        <v>5</v>
      </c>
      <c r="M1193" s="10" t="s">
        <v>4277</v>
      </c>
      <c r="N1193" s="3" t="s">
        <v>4278</v>
      </c>
      <c r="O1193" s="7">
        <v>1505.72</v>
      </c>
      <c r="P1193" s="3">
        <f t="shared" si="29"/>
        <v>1505.72</v>
      </c>
    </row>
    <row r="1194" spans="1:16" x14ac:dyDescent="0.35">
      <c r="A1194" t="s">
        <v>1206</v>
      </c>
      <c r="B1194" s="5">
        <v>45350</v>
      </c>
      <c r="C1194" t="s">
        <v>2395</v>
      </c>
      <c r="E1194" t="s">
        <v>2406</v>
      </c>
      <c r="F1194">
        <v>3</v>
      </c>
      <c r="G1194" s="7">
        <v>432.85</v>
      </c>
      <c r="H1194" s="3" t="s">
        <v>2593</v>
      </c>
      <c r="I1194" s="3" t="s">
        <v>3066</v>
      </c>
      <c r="J1194" s="3" t="s">
        <v>3074</v>
      </c>
      <c r="K1194" s="3" t="s">
        <v>4267</v>
      </c>
      <c r="L1194" s="3">
        <v>4</v>
      </c>
      <c r="N1194" s="3" t="s">
        <v>4278</v>
      </c>
      <c r="O1194" s="7">
        <v>1298.55</v>
      </c>
      <c r="P1194" s="3">
        <f t="shared" si="29"/>
        <v>1298.5500000000002</v>
      </c>
    </row>
    <row r="1195" spans="1:16" x14ac:dyDescent="0.35">
      <c r="A1195" t="s">
        <v>1207</v>
      </c>
      <c r="B1195" s="5">
        <v>45824</v>
      </c>
      <c r="C1195" t="s">
        <v>2396</v>
      </c>
      <c r="E1195" t="s">
        <v>2405</v>
      </c>
      <c r="F1195">
        <v>1</v>
      </c>
      <c r="G1195" s="7">
        <v>687.89</v>
      </c>
      <c r="H1195" s="3" t="s">
        <v>2481</v>
      </c>
      <c r="I1195" s="3" t="s">
        <v>3069</v>
      </c>
      <c r="J1195" s="3" t="s">
        <v>3072</v>
      </c>
      <c r="K1195" s="3" t="s">
        <v>4268</v>
      </c>
      <c r="L1195" s="3">
        <v>1</v>
      </c>
      <c r="M1195" s="10" t="s">
        <v>4276</v>
      </c>
      <c r="N1195" s="3" t="s">
        <v>4280</v>
      </c>
      <c r="O1195" s="7">
        <v>687.89</v>
      </c>
      <c r="P1195" s="3">
        <f t="shared" si="29"/>
        <v>687.89</v>
      </c>
    </row>
    <row r="1196" spans="1:16" x14ac:dyDescent="0.35">
      <c r="A1196" t="s">
        <v>1208</v>
      </c>
      <c r="B1196" s="5">
        <v>45249</v>
      </c>
      <c r="C1196" t="s">
        <v>2397</v>
      </c>
      <c r="E1196" t="s">
        <v>2407</v>
      </c>
      <c r="F1196">
        <v>3</v>
      </c>
      <c r="G1196" s="7">
        <v>189.44</v>
      </c>
      <c r="H1196" s="3" t="s">
        <v>2582</v>
      </c>
      <c r="I1196" s="3" t="s">
        <v>3069</v>
      </c>
      <c r="J1196" s="3" t="s">
        <v>3074</v>
      </c>
      <c r="K1196" s="3" t="s">
        <v>4269</v>
      </c>
      <c r="L1196" s="3">
        <v>4</v>
      </c>
      <c r="M1196" s="10" t="s">
        <v>4276</v>
      </c>
      <c r="N1196" s="3" t="s">
        <v>4280</v>
      </c>
      <c r="O1196" s="7">
        <v>568.31999999999994</v>
      </c>
      <c r="P1196" s="3">
        <f t="shared" si="29"/>
        <v>568.31999999999994</v>
      </c>
    </row>
    <row r="1197" spans="1:16" x14ac:dyDescent="0.35">
      <c r="A1197" t="s">
        <v>1209</v>
      </c>
      <c r="B1197" s="5">
        <v>45463</v>
      </c>
      <c r="C1197" t="s">
        <v>2398</v>
      </c>
      <c r="E1197" t="s">
        <v>2409</v>
      </c>
      <c r="F1197">
        <v>1</v>
      </c>
      <c r="G1197" s="7">
        <v>107.04</v>
      </c>
      <c r="H1197" s="3" t="s">
        <v>3062</v>
      </c>
      <c r="I1197" s="3" t="s">
        <v>3067</v>
      </c>
      <c r="J1197" s="3" t="s">
        <v>3071</v>
      </c>
      <c r="K1197" s="3" t="s">
        <v>4270</v>
      </c>
      <c r="L1197" s="3">
        <v>6</v>
      </c>
      <c r="M1197" s="10" t="s">
        <v>4276</v>
      </c>
      <c r="N1197" s="3" t="s">
        <v>4282</v>
      </c>
      <c r="O1197" s="7">
        <v>107.04</v>
      </c>
      <c r="P1197" s="3">
        <f t="shared" si="29"/>
        <v>107.04</v>
      </c>
    </row>
    <row r="1198" spans="1:16" x14ac:dyDescent="0.35">
      <c r="A1198" t="s">
        <v>1210</v>
      </c>
      <c r="B1198" s="5">
        <v>45355</v>
      </c>
      <c r="C1198" t="s">
        <v>2399</v>
      </c>
      <c r="E1198" t="s">
        <v>2403</v>
      </c>
      <c r="F1198">
        <v>2</v>
      </c>
      <c r="G1198" s="7">
        <v>662.53</v>
      </c>
      <c r="H1198" s="3" t="s">
        <v>2730</v>
      </c>
      <c r="I1198" s="3" t="s">
        <v>3066</v>
      </c>
      <c r="J1198" s="3" t="s">
        <v>3071</v>
      </c>
      <c r="K1198" s="3" t="s">
        <v>4271</v>
      </c>
      <c r="L1198" s="3">
        <v>5</v>
      </c>
      <c r="N1198" s="3" t="s">
        <v>4281</v>
      </c>
      <c r="O1198" s="7">
        <v>1325.06</v>
      </c>
      <c r="P1198" s="3">
        <f t="shared" si="29"/>
        <v>1325.06</v>
      </c>
    </row>
    <row r="1199" spans="1:16" x14ac:dyDescent="0.35">
      <c r="A1199" t="s">
        <v>1211</v>
      </c>
      <c r="B1199" s="5">
        <v>45120</v>
      </c>
      <c r="C1199" t="s">
        <v>2400</v>
      </c>
      <c r="E1199" t="s">
        <v>2405</v>
      </c>
      <c r="F1199">
        <v>2</v>
      </c>
      <c r="G1199" s="7">
        <v>436.84</v>
      </c>
      <c r="H1199" s="3" t="s">
        <v>2413</v>
      </c>
      <c r="I1199" s="3" t="s">
        <v>3066</v>
      </c>
      <c r="J1199" s="3" t="s">
        <v>3073</v>
      </c>
      <c r="K1199" s="3" t="s">
        <v>4272</v>
      </c>
      <c r="L1199" s="3">
        <v>2</v>
      </c>
      <c r="M1199" s="10" t="s">
        <v>4276</v>
      </c>
      <c r="N1199" s="3" t="s">
        <v>4278</v>
      </c>
      <c r="O1199" s="7">
        <v>873.68</v>
      </c>
      <c r="P1199" s="3">
        <f t="shared" si="29"/>
        <v>873.68</v>
      </c>
    </row>
    <row r="1200" spans="1:16" x14ac:dyDescent="0.35">
      <c r="A1200" t="s">
        <v>1212</v>
      </c>
      <c r="B1200" s="5">
        <v>45526</v>
      </c>
      <c r="C1200" t="s">
        <v>2401</v>
      </c>
      <c r="E1200" t="s">
        <v>2406</v>
      </c>
      <c r="F1200">
        <v>4</v>
      </c>
      <c r="G1200" s="7">
        <v>262.52</v>
      </c>
      <c r="H1200" s="3" t="s">
        <v>3063</v>
      </c>
      <c r="I1200" s="3" t="s">
        <v>3065</v>
      </c>
      <c r="J1200" s="3" t="s">
        <v>3071</v>
      </c>
      <c r="K1200" s="3" t="s">
        <v>4273</v>
      </c>
      <c r="L1200" s="3">
        <v>4</v>
      </c>
      <c r="M1200" s="10" t="s">
        <v>4277</v>
      </c>
      <c r="N1200" s="3" t="s">
        <v>4278</v>
      </c>
      <c r="O1200" s="7">
        <v>1050.08</v>
      </c>
      <c r="P1200" s="3">
        <f t="shared" si="29"/>
        <v>1050.08</v>
      </c>
    </row>
    <row r="1201" spans="1:16" x14ac:dyDescent="0.35">
      <c r="A1201" t="s">
        <v>1213</v>
      </c>
      <c r="B1201" s="5">
        <v>45088</v>
      </c>
      <c r="C1201" t="s">
        <v>2402</v>
      </c>
      <c r="E1201" t="s">
        <v>2405</v>
      </c>
      <c r="F1201">
        <v>4</v>
      </c>
      <c r="G1201" s="7">
        <v>560.58000000000004</v>
      </c>
      <c r="H1201" s="3" t="s">
        <v>3064</v>
      </c>
      <c r="I1201" s="3" t="s">
        <v>3068</v>
      </c>
      <c r="J1201" s="3" t="s">
        <v>3072</v>
      </c>
      <c r="K1201" s="3" t="s">
        <v>4274</v>
      </c>
      <c r="L1201" s="3">
        <v>6</v>
      </c>
      <c r="M1201" s="10" t="s">
        <v>4275</v>
      </c>
      <c r="N1201" s="3" t="s">
        <v>4279</v>
      </c>
      <c r="O1201" s="7">
        <v>2242.3200000000002</v>
      </c>
      <c r="P1201" s="3">
        <f t="shared" si="29"/>
        <v>2242.3200000000002</v>
      </c>
    </row>
    <row r="1202" spans="1:16" x14ac:dyDescent="0.35">
      <c r="M1202" s="11"/>
    </row>
    <row r="1203" spans="1:16" x14ac:dyDescent="0.35">
      <c r="M1203" s="11"/>
    </row>
    <row r="1204" spans="1:16" x14ac:dyDescent="0.35">
      <c r="M1204" s="11"/>
    </row>
    <row r="1205" spans="1:16" x14ac:dyDescent="0.35">
      <c r="M1205" s="11"/>
    </row>
    <row r="1206" spans="1:16" x14ac:dyDescent="0.35">
      <c r="M1206" s="11"/>
    </row>
    <row r="1207" spans="1:16" x14ac:dyDescent="0.35">
      <c r="M1207" s="11"/>
    </row>
    <row r="1208" spans="1:16" x14ac:dyDescent="0.35">
      <c r="M1208" s="11"/>
    </row>
    <row r="1209" spans="1:16" x14ac:dyDescent="0.35">
      <c r="M1209" s="11"/>
    </row>
    <row r="1210" spans="1:16" x14ac:dyDescent="0.35">
      <c r="M1210" s="11"/>
    </row>
    <row r="1211" spans="1:16" x14ac:dyDescent="0.35">
      <c r="M1211" s="11"/>
    </row>
    <row r="1212" spans="1:16" x14ac:dyDescent="0.35">
      <c r="M1212" s="11"/>
    </row>
    <row r="1213" spans="1:16" x14ac:dyDescent="0.35">
      <c r="M1213" s="11"/>
    </row>
    <row r="1214" spans="1:16" x14ac:dyDescent="0.35">
      <c r="M1214" s="11"/>
    </row>
    <row r="1215" spans="1:16" x14ac:dyDescent="0.35">
      <c r="M1215" s="11"/>
    </row>
    <row r="1216" spans="1:16" x14ac:dyDescent="0.35">
      <c r="M1216" s="11"/>
    </row>
    <row r="1217" spans="13:13" x14ac:dyDescent="0.35">
      <c r="M1217" s="11"/>
    </row>
    <row r="1218" spans="13:13" x14ac:dyDescent="0.35">
      <c r="M1218" s="11"/>
    </row>
    <row r="1219" spans="13:13" x14ac:dyDescent="0.35">
      <c r="M1219" s="11"/>
    </row>
    <row r="1220" spans="13:13" x14ac:dyDescent="0.35">
      <c r="M1220" s="11"/>
    </row>
    <row r="1221" spans="13:13" x14ac:dyDescent="0.35">
      <c r="M1221" s="11"/>
    </row>
    <row r="1222" spans="13:13" x14ac:dyDescent="0.35">
      <c r="M1222" s="11"/>
    </row>
    <row r="1223" spans="13:13" x14ac:dyDescent="0.35">
      <c r="M1223" s="11"/>
    </row>
    <row r="1224" spans="13:13" x14ac:dyDescent="0.35">
      <c r="M1224" s="11"/>
    </row>
    <row r="1225" spans="13:13" x14ac:dyDescent="0.35">
      <c r="M1225" s="11"/>
    </row>
    <row r="1226" spans="13:13" x14ac:dyDescent="0.35">
      <c r="M1226" s="11"/>
    </row>
    <row r="1227" spans="13:13" x14ac:dyDescent="0.35">
      <c r="M1227" s="11"/>
    </row>
    <row r="1228" spans="13:13" x14ac:dyDescent="0.35">
      <c r="M1228" s="11"/>
    </row>
    <row r="1229" spans="13:13" x14ac:dyDescent="0.35">
      <c r="M1229" s="11"/>
    </row>
    <row r="1230" spans="13:13" x14ac:dyDescent="0.35">
      <c r="M1230" s="11"/>
    </row>
    <row r="1231" spans="13:13" x14ac:dyDescent="0.35">
      <c r="M1231" s="11"/>
    </row>
    <row r="1232" spans="13:13" x14ac:dyDescent="0.35">
      <c r="M1232" s="11"/>
    </row>
    <row r="1233" spans="13:13" x14ac:dyDescent="0.35">
      <c r="M1233" s="11"/>
    </row>
    <row r="1234" spans="13:13" x14ac:dyDescent="0.35">
      <c r="M1234" s="11"/>
    </row>
    <row r="1235" spans="13:13" x14ac:dyDescent="0.35">
      <c r="M1235" s="11"/>
    </row>
    <row r="1236" spans="13:13" x14ac:dyDescent="0.35">
      <c r="M1236" s="11"/>
    </row>
    <row r="1237" spans="13:13" x14ac:dyDescent="0.35">
      <c r="M1237" s="11"/>
    </row>
    <row r="1238" spans="13:13" x14ac:dyDescent="0.35">
      <c r="M1238" s="11"/>
    </row>
    <row r="1239" spans="13:13" x14ac:dyDescent="0.35">
      <c r="M1239" s="11"/>
    </row>
    <row r="1240" spans="13:13" x14ac:dyDescent="0.35">
      <c r="M1240" s="11"/>
    </row>
    <row r="1241" spans="13:13" x14ac:dyDescent="0.35">
      <c r="M1241" s="11"/>
    </row>
    <row r="1242" spans="13:13" x14ac:dyDescent="0.35">
      <c r="M1242" s="11"/>
    </row>
    <row r="1243" spans="13:13" x14ac:dyDescent="0.35">
      <c r="M1243" s="11"/>
    </row>
    <row r="1244" spans="13:13" x14ac:dyDescent="0.35">
      <c r="M1244" s="11"/>
    </row>
    <row r="1245" spans="13:13" x14ac:dyDescent="0.35">
      <c r="M1245" s="11"/>
    </row>
    <row r="1246" spans="13:13" x14ac:dyDescent="0.35">
      <c r="M1246" s="11"/>
    </row>
    <row r="1247" spans="13:13" x14ac:dyDescent="0.35">
      <c r="M1247" s="11"/>
    </row>
    <row r="1248" spans="13:13" x14ac:dyDescent="0.35">
      <c r="M1248" s="11"/>
    </row>
    <row r="1249" spans="13:13" x14ac:dyDescent="0.35">
      <c r="M1249" s="11"/>
    </row>
    <row r="1250" spans="13:13" x14ac:dyDescent="0.35">
      <c r="M1250" s="11"/>
    </row>
    <row r="1251" spans="13:13" x14ac:dyDescent="0.35">
      <c r="M1251" s="11"/>
    </row>
    <row r="1252" spans="13:13" x14ac:dyDescent="0.35">
      <c r="M1252" s="11"/>
    </row>
    <row r="1253" spans="13:13" x14ac:dyDescent="0.35">
      <c r="M1253" s="11"/>
    </row>
    <row r="1254" spans="13:13" x14ac:dyDescent="0.35">
      <c r="M1254" s="11"/>
    </row>
    <row r="1255" spans="13:13" x14ac:dyDescent="0.35">
      <c r="M1255" s="11"/>
    </row>
    <row r="1256" spans="13:13" x14ac:dyDescent="0.35">
      <c r="M1256" s="11"/>
    </row>
    <row r="1257" spans="13:13" x14ac:dyDescent="0.35">
      <c r="M1257" s="11"/>
    </row>
    <row r="1258" spans="13:13" x14ac:dyDescent="0.35">
      <c r="M1258" s="11"/>
    </row>
    <row r="1259" spans="13:13" x14ac:dyDescent="0.35">
      <c r="M1259" s="11"/>
    </row>
    <row r="1260" spans="13:13" x14ac:dyDescent="0.35">
      <c r="M1260" s="11"/>
    </row>
    <row r="1261" spans="13:13" x14ac:dyDescent="0.35">
      <c r="M1261" s="11"/>
    </row>
    <row r="1262" spans="13:13" x14ac:dyDescent="0.35">
      <c r="M1262" s="11"/>
    </row>
    <row r="1263" spans="13:13" x14ac:dyDescent="0.35">
      <c r="M1263" s="11"/>
    </row>
    <row r="1264" spans="13:13" x14ac:dyDescent="0.35">
      <c r="M1264" s="11"/>
    </row>
    <row r="1265" spans="13:13" x14ac:dyDescent="0.35">
      <c r="M1265" s="11"/>
    </row>
    <row r="1266" spans="13:13" x14ac:dyDescent="0.35">
      <c r="M1266" s="11"/>
    </row>
    <row r="1267" spans="13:13" x14ac:dyDescent="0.35">
      <c r="M1267" s="11"/>
    </row>
    <row r="1268" spans="13:13" x14ac:dyDescent="0.35">
      <c r="M1268" s="11"/>
    </row>
    <row r="1269" spans="13:13" x14ac:dyDescent="0.35">
      <c r="M1269" s="11"/>
    </row>
    <row r="1270" spans="13:13" x14ac:dyDescent="0.35">
      <c r="M1270" s="11"/>
    </row>
    <row r="1271" spans="13:13" x14ac:dyDescent="0.35">
      <c r="M1271" s="11"/>
    </row>
    <row r="1272" spans="13:13" x14ac:dyDescent="0.35">
      <c r="M1272" s="11"/>
    </row>
    <row r="1273" spans="13:13" x14ac:dyDescent="0.35">
      <c r="M1273" s="11"/>
    </row>
    <row r="1274" spans="13:13" x14ac:dyDescent="0.35">
      <c r="M1274" s="11"/>
    </row>
    <row r="1275" spans="13:13" x14ac:dyDescent="0.35">
      <c r="M1275" s="11"/>
    </row>
    <row r="1276" spans="13:13" x14ac:dyDescent="0.35">
      <c r="M1276" s="11"/>
    </row>
    <row r="1277" spans="13:13" x14ac:dyDescent="0.35">
      <c r="M1277" s="11"/>
    </row>
    <row r="1278" spans="13:13" x14ac:dyDescent="0.35">
      <c r="M1278" s="11"/>
    </row>
    <row r="1279" spans="13:13" x14ac:dyDescent="0.35">
      <c r="M1279" s="11"/>
    </row>
    <row r="1280" spans="13:13" x14ac:dyDescent="0.35">
      <c r="M1280" s="11"/>
    </row>
    <row r="1281" spans="13:13" x14ac:dyDescent="0.35">
      <c r="M1281" s="11"/>
    </row>
    <row r="1282" spans="13:13" x14ac:dyDescent="0.35">
      <c r="M1282" s="11"/>
    </row>
    <row r="1283" spans="13:13" x14ac:dyDescent="0.35">
      <c r="M1283" s="11"/>
    </row>
    <row r="1284" spans="13:13" x14ac:dyDescent="0.35">
      <c r="M1284" s="11"/>
    </row>
    <row r="1285" spans="13:13" x14ac:dyDescent="0.35">
      <c r="M1285" s="11"/>
    </row>
    <row r="1286" spans="13:13" x14ac:dyDescent="0.35">
      <c r="M1286" s="11"/>
    </row>
    <row r="1287" spans="13:13" x14ac:dyDescent="0.35">
      <c r="M1287" s="11"/>
    </row>
    <row r="1288" spans="13:13" x14ac:dyDescent="0.35">
      <c r="M1288" s="11"/>
    </row>
    <row r="1289" spans="13:13" x14ac:dyDescent="0.35">
      <c r="M1289" s="11"/>
    </row>
    <row r="1290" spans="13:13" x14ac:dyDescent="0.35">
      <c r="M1290" s="11"/>
    </row>
    <row r="1291" spans="13:13" x14ac:dyDescent="0.35">
      <c r="M1291" s="11"/>
    </row>
    <row r="1292" spans="13:13" x14ac:dyDescent="0.35">
      <c r="M1292" s="11"/>
    </row>
    <row r="1293" spans="13:13" x14ac:dyDescent="0.35">
      <c r="M1293" s="11"/>
    </row>
    <row r="1294" spans="13:13" x14ac:dyDescent="0.35">
      <c r="M1294" s="11"/>
    </row>
    <row r="1295" spans="13:13" x14ac:dyDescent="0.35">
      <c r="M1295" s="11"/>
    </row>
    <row r="1296" spans="13:13" x14ac:dyDescent="0.35">
      <c r="M1296" s="11"/>
    </row>
    <row r="1297" spans="13:13" x14ac:dyDescent="0.35">
      <c r="M1297" s="11"/>
    </row>
    <row r="1298" spans="13:13" x14ac:dyDescent="0.35">
      <c r="M1298" s="11"/>
    </row>
    <row r="1299" spans="13:13" x14ac:dyDescent="0.35">
      <c r="M1299" s="11"/>
    </row>
    <row r="1300" spans="13:13" x14ac:dyDescent="0.35">
      <c r="M1300" s="11"/>
    </row>
    <row r="1301" spans="13:13" x14ac:dyDescent="0.35">
      <c r="M1301" s="11"/>
    </row>
    <row r="1302" spans="13:13" x14ac:dyDescent="0.35">
      <c r="M1302" s="11"/>
    </row>
    <row r="1303" spans="13:13" x14ac:dyDescent="0.35">
      <c r="M1303" s="11"/>
    </row>
    <row r="1304" spans="13:13" x14ac:dyDescent="0.35">
      <c r="M1304" s="11"/>
    </row>
    <row r="1305" spans="13:13" x14ac:dyDescent="0.35">
      <c r="M1305" s="11"/>
    </row>
    <row r="1306" spans="13:13" x14ac:dyDescent="0.35">
      <c r="M1306" s="11"/>
    </row>
    <row r="1307" spans="13:13" x14ac:dyDescent="0.35">
      <c r="M1307" s="11"/>
    </row>
    <row r="1308" spans="13:13" x14ac:dyDescent="0.35">
      <c r="M1308" s="11"/>
    </row>
    <row r="1309" spans="13:13" x14ac:dyDescent="0.35">
      <c r="M1309" s="11"/>
    </row>
    <row r="1310" spans="13:13" x14ac:dyDescent="0.35">
      <c r="M1310" s="11"/>
    </row>
    <row r="1311" spans="13:13" x14ac:dyDescent="0.35">
      <c r="M1311" s="11"/>
    </row>
    <row r="1312" spans="13:13" x14ac:dyDescent="0.35">
      <c r="M1312" s="11"/>
    </row>
    <row r="1313" spans="13:13" x14ac:dyDescent="0.35">
      <c r="M1313" s="11"/>
    </row>
    <row r="1314" spans="13:13" x14ac:dyDescent="0.35">
      <c r="M1314" s="11"/>
    </row>
    <row r="1315" spans="13:13" x14ac:dyDescent="0.35">
      <c r="M1315" s="11"/>
    </row>
    <row r="1316" spans="13:13" x14ac:dyDescent="0.35">
      <c r="M1316" s="11"/>
    </row>
    <row r="1317" spans="13:13" x14ac:dyDescent="0.35">
      <c r="M1317" s="11"/>
    </row>
    <row r="1318" spans="13:13" x14ac:dyDescent="0.35">
      <c r="M1318" s="11"/>
    </row>
    <row r="1319" spans="13:13" x14ac:dyDescent="0.35">
      <c r="M1319" s="11"/>
    </row>
    <row r="1320" spans="13:13" x14ac:dyDescent="0.35">
      <c r="M1320" s="11"/>
    </row>
    <row r="1321" spans="13:13" x14ac:dyDescent="0.35">
      <c r="M1321" s="11"/>
    </row>
    <row r="1322" spans="13:13" x14ac:dyDescent="0.35">
      <c r="M1322" s="11"/>
    </row>
    <row r="1323" spans="13:13" x14ac:dyDescent="0.35">
      <c r="M1323" s="11"/>
    </row>
    <row r="1324" spans="13:13" x14ac:dyDescent="0.35">
      <c r="M1324" s="11"/>
    </row>
    <row r="1325" spans="13:13" x14ac:dyDescent="0.35">
      <c r="M1325" s="11"/>
    </row>
    <row r="1326" spans="13:13" x14ac:dyDescent="0.35">
      <c r="M1326" s="11"/>
    </row>
    <row r="1327" spans="13:13" x14ac:dyDescent="0.35">
      <c r="M1327" s="11"/>
    </row>
    <row r="1328" spans="13:13" x14ac:dyDescent="0.35">
      <c r="M1328" s="11"/>
    </row>
    <row r="1329" spans="13:13" x14ac:dyDescent="0.35">
      <c r="M1329" s="11"/>
    </row>
    <row r="1330" spans="13:13" x14ac:dyDescent="0.35">
      <c r="M1330" s="11"/>
    </row>
    <row r="1331" spans="13:13" x14ac:dyDescent="0.35">
      <c r="M1331" s="11"/>
    </row>
    <row r="1332" spans="13:13" x14ac:dyDescent="0.35">
      <c r="M1332" s="11"/>
    </row>
    <row r="1333" spans="13:13" x14ac:dyDescent="0.35">
      <c r="M1333" s="11"/>
    </row>
    <row r="1334" spans="13:13" x14ac:dyDescent="0.35">
      <c r="M1334" s="11"/>
    </row>
    <row r="1335" spans="13:13" x14ac:dyDescent="0.35">
      <c r="M1335" s="11"/>
    </row>
    <row r="1336" spans="13:13" x14ac:dyDescent="0.35">
      <c r="M1336" s="11"/>
    </row>
    <row r="1337" spans="13:13" x14ac:dyDescent="0.35">
      <c r="M1337" s="11"/>
    </row>
    <row r="1338" spans="13:13" x14ac:dyDescent="0.35">
      <c r="M1338" s="11"/>
    </row>
    <row r="1339" spans="13:13" x14ac:dyDescent="0.35">
      <c r="M1339" s="11"/>
    </row>
    <row r="1340" spans="13:13" x14ac:dyDescent="0.35">
      <c r="M1340" s="11"/>
    </row>
    <row r="1341" spans="13:13" x14ac:dyDescent="0.35">
      <c r="M1341" s="11"/>
    </row>
    <row r="1342" spans="13:13" x14ac:dyDescent="0.35">
      <c r="M1342" s="11"/>
    </row>
    <row r="1343" spans="13:13" x14ac:dyDescent="0.35">
      <c r="M1343" s="11"/>
    </row>
    <row r="1344" spans="13:13" x14ac:dyDescent="0.35">
      <c r="M1344" s="11"/>
    </row>
    <row r="1345" spans="13:13" x14ac:dyDescent="0.35">
      <c r="M1345" s="11"/>
    </row>
    <row r="1346" spans="13:13" x14ac:dyDescent="0.35">
      <c r="M1346" s="11"/>
    </row>
    <row r="1347" spans="13:13" x14ac:dyDescent="0.35">
      <c r="M1347" s="11"/>
    </row>
    <row r="1348" spans="13:13" x14ac:dyDescent="0.35">
      <c r="M1348" s="11"/>
    </row>
    <row r="1349" spans="13:13" x14ac:dyDescent="0.35">
      <c r="M1349" s="11"/>
    </row>
    <row r="1350" spans="13:13" x14ac:dyDescent="0.35">
      <c r="M1350" s="11"/>
    </row>
    <row r="1351" spans="13:13" x14ac:dyDescent="0.35">
      <c r="M1351" s="11"/>
    </row>
    <row r="1352" spans="13:13" x14ac:dyDescent="0.35">
      <c r="M1352" s="11"/>
    </row>
    <row r="1353" spans="13:13" x14ac:dyDescent="0.35">
      <c r="M1353" s="11"/>
    </row>
    <row r="1354" spans="13:13" x14ac:dyDescent="0.35">
      <c r="M1354" s="11"/>
    </row>
    <row r="1355" spans="13:13" x14ac:dyDescent="0.35">
      <c r="M1355" s="11"/>
    </row>
    <row r="1356" spans="13:13" x14ac:dyDescent="0.35">
      <c r="M1356" s="11"/>
    </row>
    <row r="1357" spans="13:13" x14ac:dyDescent="0.35">
      <c r="M1357" s="11"/>
    </row>
    <row r="1358" spans="13:13" x14ac:dyDescent="0.35">
      <c r="M1358" s="11"/>
    </row>
    <row r="1359" spans="13:13" x14ac:dyDescent="0.35">
      <c r="M1359" s="11"/>
    </row>
    <row r="1360" spans="13:13" x14ac:dyDescent="0.35">
      <c r="M1360" s="11"/>
    </row>
    <row r="1361" spans="13:13" x14ac:dyDescent="0.35">
      <c r="M1361" s="11"/>
    </row>
    <row r="1362" spans="13:13" x14ac:dyDescent="0.35">
      <c r="M1362" s="11"/>
    </row>
    <row r="1363" spans="13:13" x14ac:dyDescent="0.35">
      <c r="M1363" s="11"/>
    </row>
    <row r="1364" spans="13:13" x14ac:dyDescent="0.35">
      <c r="M1364" s="11"/>
    </row>
    <row r="1365" spans="13:13" x14ac:dyDescent="0.35">
      <c r="M1365" s="11"/>
    </row>
    <row r="1366" spans="13:13" x14ac:dyDescent="0.35">
      <c r="M1366" s="11"/>
    </row>
    <row r="1367" spans="13:13" x14ac:dyDescent="0.35">
      <c r="M1367" s="11"/>
    </row>
    <row r="1368" spans="13:13" x14ac:dyDescent="0.35">
      <c r="M1368" s="11"/>
    </row>
    <row r="1369" spans="13:13" x14ac:dyDescent="0.35">
      <c r="M1369" s="11"/>
    </row>
    <row r="1370" spans="13:13" x14ac:dyDescent="0.35">
      <c r="M1370" s="11"/>
    </row>
    <row r="1371" spans="13:13" x14ac:dyDescent="0.35">
      <c r="M1371" s="11"/>
    </row>
    <row r="1372" spans="13:13" x14ac:dyDescent="0.35">
      <c r="M1372" s="11"/>
    </row>
    <row r="1373" spans="13:13" x14ac:dyDescent="0.35">
      <c r="M1373" s="11"/>
    </row>
    <row r="1374" spans="13:13" x14ac:dyDescent="0.35">
      <c r="M1374" s="11"/>
    </row>
    <row r="1375" spans="13:13" x14ac:dyDescent="0.35">
      <c r="M1375" s="11"/>
    </row>
    <row r="1376" spans="13:13" x14ac:dyDescent="0.35">
      <c r="M1376" s="11"/>
    </row>
    <row r="1377" spans="13:13" x14ac:dyDescent="0.35">
      <c r="M1377" s="11"/>
    </row>
    <row r="1378" spans="13:13" x14ac:dyDescent="0.35">
      <c r="M1378" s="11"/>
    </row>
    <row r="1379" spans="13:13" x14ac:dyDescent="0.35">
      <c r="M1379" s="11"/>
    </row>
    <row r="1380" spans="13:13" x14ac:dyDescent="0.35">
      <c r="M1380" s="11"/>
    </row>
    <row r="1381" spans="13:13" x14ac:dyDescent="0.35">
      <c r="M1381" s="11"/>
    </row>
    <row r="1382" spans="13:13" x14ac:dyDescent="0.35">
      <c r="M1382" s="11"/>
    </row>
    <row r="1383" spans="13:13" x14ac:dyDescent="0.35">
      <c r="M1383" s="11"/>
    </row>
    <row r="1384" spans="13:13" x14ac:dyDescent="0.35">
      <c r="M1384" s="11"/>
    </row>
    <row r="1385" spans="13:13" x14ac:dyDescent="0.35">
      <c r="M1385" s="11"/>
    </row>
    <row r="1386" spans="13:13" x14ac:dyDescent="0.35">
      <c r="M1386" s="11"/>
    </row>
    <row r="1387" spans="13:13" x14ac:dyDescent="0.35">
      <c r="M1387" s="11"/>
    </row>
    <row r="1388" spans="13:13" x14ac:dyDescent="0.35">
      <c r="M1388" s="11"/>
    </row>
    <row r="1389" spans="13:13" x14ac:dyDescent="0.35">
      <c r="M1389" s="11"/>
    </row>
    <row r="1390" spans="13:13" x14ac:dyDescent="0.35">
      <c r="M1390" s="11"/>
    </row>
    <row r="1391" spans="13:13" x14ac:dyDescent="0.35">
      <c r="M1391" s="11"/>
    </row>
    <row r="1392" spans="13:13" x14ac:dyDescent="0.35">
      <c r="M1392" s="11"/>
    </row>
    <row r="1393" spans="13:13" x14ac:dyDescent="0.35">
      <c r="M1393" s="11"/>
    </row>
    <row r="1394" spans="13:13" x14ac:dyDescent="0.35">
      <c r="M1394" s="11"/>
    </row>
    <row r="1395" spans="13:13" x14ac:dyDescent="0.35">
      <c r="M1395" s="11"/>
    </row>
    <row r="1396" spans="13:13" x14ac:dyDescent="0.35">
      <c r="M1396" s="11"/>
    </row>
    <row r="1397" spans="13:13" x14ac:dyDescent="0.35">
      <c r="M1397" s="11"/>
    </row>
    <row r="1398" spans="13:13" x14ac:dyDescent="0.35">
      <c r="M1398" s="11"/>
    </row>
    <row r="1399" spans="13:13" x14ac:dyDescent="0.35">
      <c r="M1399" s="11"/>
    </row>
    <row r="1400" spans="13:13" x14ac:dyDescent="0.35">
      <c r="M1400" s="11"/>
    </row>
    <row r="1401" spans="13:13" x14ac:dyDescent="0.35">
      <c r="M1401" s="11"/>
    </row>
    <row r="1402" spans="13:13" x14ac:dyDescent="0.35">
      <c r="M1402" s="11"/>
    </row>
    <row r="1403" spans="13:13" x14ac:dyDescent="0.35">
      <c r="M1403" s="11"/>
    </row>
    <row r="1404" spans="13:13" x14ac:dyDescent="0.35">
      <c r="M1404" s="11"/>
    </row>
    <row r="1405" spans="13:13" x14ac:dyDescent="0.35">
      <c r="M1405" s="11"/>
    </row>
    <row r="1406" spans="13:13" x14ac:dyDescent="0.35">
      <c r="M1406" s="11"/>
    </row>
    <row r="1407" spans="13:13" x14ac:dyDescent="0.35">
      <c r="M1407" s="11"/>
    </row>
    <row r="1408" spans="13:13" x14ac:dyDescent="0.35">
      <c r="M1408" s="11"/>
    </row>
    <row r="1409" spans="13:13" x14ac:dyDescent="0.35">
      <c r="M1409" s="11"/>
    </row>
    <row r="1410" spans="13:13" x14ac:dyDescent="0.35">
      <c r="M1410" s="11"/>
    </row>
    <row r="1411" spans="13:13" x14ac:dyDescent="0.35">
      <c r="M1411" s="11"/>
    </row>
    <row r="1412" spans="13:13" x14ac:dyDescent="0.35">
      <c r="M1412" s="11"/>
    </row>
    <row r="1413" spans="13:13" x14ac:dyDescent="0.35">
      <c r="M1413" s="11"/>
    </row>
    <row r="1414" spans="13:13" x14ac:dyDescent="0.35">
      <c r="M1414" s="11"/>
    </row>
    <row r="1415" spans="13:13" x14ac:dyDescent="0.35">
      <c r="M1415" s="11"/>
    </row>
    <row r="1416" spans="13:13" x14ac:dyDescent="0.35">
      <c r="M1416" s="11"/>
    </row>
    <row r="1417" spans="13:13" x14ac:dyDescent="0.35">
      <c r="M1417" s="11"/>
    </row>
    <row r="1418" spans="13:13" x14ac:dyDescent="0.35">
      <c r="M1418" s="11"/>
    </row>
    <row r="1419" spans="13:13" x14ac:dyDescent="0.35">
      <c r="M1419" s="11"/>
    </row>
    <row r="1420" spans="13:13" x14ac:dyDescent="0.35">
      <c r="M1420" s="11"/>
    </row>
    <row r="1421" spans="13:13" x14ac:dyDescent="0.35">
      <c r="M1421" s="11"/>
    </row>
    <row r="1422" spans="13:13" x14ac:dyDescent="0.35">
      <c r="M1422" s="11"/>
    </row>
    <row r="1423" spans="13:13" x14ac:dyDescent="0.35">
      <c r="M1423" s="11"/>
    </row>
    <row r="1424" spans="13:13" x14ac:dyDescent="0.35">
      <c r="M1424" s="11"/>
    </row>
    <row r="1425" spans="13:13" x14ac:dyDescent="0.35">
      <c r="M1425" s="11"/>
    </row>
    <row r="1426" spans="13:13" x14ac:dyDescent="0.35">
      <c r="M1426" s="11"/>
    </row>
    <row r="1427" spans="13:13" x14ac:dyDescent="0.35">
      <c r="M1427" s="11"/>
    </row>
    <row r="1428" spans="13:13" x14ac:dyDescent="0.35">
      <c r="M1428" s="11"/>
    </row>
    <row r="1429" spans="13:13" x14ac:dyDescent="0.35">
      <c r="M1429" s="11"/>
    </row>
    <row r="1430" spans="13:13" x14ac:dyDescent="0.35">
      <c r="M1430" s="11"/>
    </row>
    <row r="1431" spans="13:13" x14ac:dyDescent="0.35">
      <c r="M1431" s="11"/>
    </row>
    <row r="1432" spans="13:13" x14ac:dyDescent="0.35">
      <c r="M1432" s="11"/>
    </row>
    <row r="1433" spans="13:13" x14ac:dyDescent="0.35">
      <c r="M1433" s="11"/>
    </row>
    <row r="1434" spans="13:13" x14ac:dyDescent="0.35">
      <c r="M1434" s="11"/>
    </row>
    <row r="1435" spans="13:13" x14ac:dyDescent="0.35">
      <c r="M1435" s="11"/>
    </row>
    <row r="1436" spans="13:13" x14ac:dyDescent="0.35">
      <c r="M1436" s="11"/>
    </row>
    <row r="1437" spans="13:13" x14ac:dyDescent="0.35">
      <c r="M1437" s="11"/>
    </row>
    <row r="1438" spans="13:13" x14ac:dyDescent="0.35">
      <c r="M1438" s="11"/>
    </row>
    <row r="1439" spans="13:13" x14ac:dyDescent="0.35">
      <c r="M1439" s="11"/>
    </row>
    <row r="1440" spans="13:13" x14ac:dyDescent="0.35">
      <c r="M1440" s="11"/>
    </row>
    <row r="1441" spans="13:13" x14ac:dyDescent="0.35">
      <c r="M1441" s="11"/>
    </row>
    <row r="1442" spans="13:13" x14ac:dyDescent="0.35">
      <c r="M1442" s="11"/>
    </row>
    <row r="1443" spans="13:13" x14ac:dyDescent="0.35">
      <c r="M1443" s="11"/>
    </row>
    <row r="1444" spans="13:13" x14ac:dyDescent="0.35">
      <c r="M1444" s="11"/>
    </row>
    <row r="1445" spans="13:13" x14ac:dyDescent="0.35">
      <c r="M1445" s="11"/>
    </row>
    <row r="1446" spans="13:13" x14ac:dyDescent="0.35">
      <c r="M1446" s="11"/>
    </row>
    <row r="1447" spans="13:13" x14ac:dyDescent="0.35">
      <c r="M1447" s="11"/>
    </row>
    <row r="1448" spans="13:13" x14ac:dyDescent="0.35">
      <c r="M1448" s="11"/>
    </row>
    <row r="1449" spans="13:13" x14ac:dyDescent="0.35">
      <c r="M1449" s="11"/>
    </row>
    <row r="1450" spans="13:13" x14ac:dyDescent="0.35">
      <c r="M1450" s="11"/>
    </row>
    <row r="1451" spans="13:13" x14ac:dyDescent="0.35">
      <c r="M1451" s="11"/>
    </row>
    <row r="1452" spans="13:13" x14ac:dyDescent="0.35">
      <c r="M1452" s="11"/>
    </row>
    <row r="1453" spans="13:13" x14ac:dyDescent="0.35">
      <c r="M1453" s="11"/>
    </row>
    <row r="1454" spans="13:13" x14ac:dyDescent="0.35">
      <c r="M1454" s="11"/>
    </row>
    <row r="1455" spans="13:13" x14ac:dyDescent="0.35">
      <c r="M1455" s="11"/>
    </row>
    <row r="1456" spans="13:13" x14ac:dyDescent="0.35">
      <c r="M1456" s="11"/>
    </row>
    <row r="1457" spans="13:13" x14ac:dyDescent="0.35">
      <c r="M1457" s="11"/>
    </row>
    <row r="1458" spans="13:13" x14ac:dyDescent="0.35">
      <c r="M1458" s="11"/>
    </row>
    <row r="1459" spans="13:13" x14ac:dyDescent="0.35">
      <c r="M1459" s="11"/>
    </row>
    <row r="1460" spans="13:13" x14ac:dyDescent="0.35">
      <c r="M1460" s="11"/>
    </row>
    <row r="1461" spans="13:13" x14ac:dyDescent="0.35">
      <c r="M1461" s="11"/>
    </row>
    <row r="1462" spans="13:13" x14ac:dyDescent="0.35">
      <c r="M1462" s="11"/>
    </row>
    <row r="1463" spans="13:13" x14ac:dyDescent="0.35">
      <c r="M1463" s="11"/>
    </row>
    <row r="1464" spans="13:13" x14ac:dyDescent="0.35">
      <c r="M1464" s="11"/>
    </row>
    <row r="1465" spans="13:13" x14ac:dyDescent="0.35">
      <c r="M1465" s="11"/>
    </row>
    <row r="1466" spans="13:13" x14ac:dyDescent="0.35">
      <c r="M1466" s="11"/>
    </row>
    <row r="1467" spans="13:13" x14ac:dyDescent="0.35">
      <c r="M1467" s="11"/>
    </row>
    <row r="1468" spans="13:13" x14ac:dyDescent="0.35">
      <c r="M1468" s="11"/>
    </row>
    <row r="1469" spans="13:13" x14ac:dyDescent="0.35">
      <c r="M1469" s="11"/>
    </row>
    <row r="1470" spans="13:13" x14ac:dyDescent="0.35">
      <c r="M1470" s="11"/>
    </row>
    <row r="1471" spans="13:13" x14ac:dyDescent="0.35">
      <c r="M1471" s="11"/>
    </row>
    <row r="1472" spans="13:13" x14ac:dyDescent="0.35">
      <c r="M1472" s="11"/>
    </row>
    <row r="1473" spans="13:13" x14ac:dyDescent="0.35">
      <c r="M1473" s="11"/>
    </row>
    <row r="1474" spans="13:13" x14ac:dyDescent="0.35">
      <c r="M1474" s="11"/>
    </row>
    <row r="1475" spans="13:13" x14ac:dyDescent="0.35">
      <c r="M1475" s="11"/>
    </row>
    <row r="1476" spans="13:13" x14ac:dyDescent="0.35">
      <c r="M1476" s="11"/>
    </row>
    <row r="1477" spans="13:13" x14ac:dyDescent="0.35">
      <c r="M1477" s="11"/>
    </row>
    <row r="1478" spans="13:13" x14ac:dyDescent="0.35">
      <c r="M1478" s="11"/>
    </row>
    <row r="1479" spans="13:13" x14ac:dyDescent="0.35">
      <c r="M1479" s="11"/>
    </row>
    <row r="1480" spans="13:13" x14ac:dyDescent="0.35">
      <c r="M1480" s="11"/>
    </row>
    <row r="1481" spans="13:13" x14ac:dyDescent="0.35">
      <c r="M1481" s="11"/>
    </row>
    <row r="1482" spans="13:13" x14ac:dyDescent="0.35">
      <c r="M1482" s="11"/>
    </row>
    <row r="1483" spans="13:13" x14ac:dyDescent="0.35">
      <c r="M1483" s="11"/>
    </row>
    <row r="1484" spans="13:13" x14ac:dyDescent="0.35">
      <c r="M1484" s="11"/>
    </row>
    <row r="1485" spans="13:13" x14ac:dyDescent="0.35">
      <c r="M1485" s="11"/>
    </row>
    <row r="1486" spans="13:13" x14ac:dyDescent="0.35">
      <c r="M1486" s="11"/>
    </row>
    <row r="1487" spans="13:13" x14ac:dyDescent="0.35">
      <c r="M1487" s="11"/>
    </row>
    <row r="1488" spans="13:13" x14ac:dyDescent="0.35">
      <c r="M1488" s="11"/>
    </row>
    <row r="1489" spans="13:13" x14ac:dyDescent="0.35">
      <c r="M1489" s="11"/>
    </row>
    <row r="1490" spans="13:13" x14ac:dyDescent="0.35">
      <c r="M1490" s="11"/>
    </row>
    <row r="1491" spans="13:13" x14ac:dyDescent="0.35">
      <c r="M1491" s="11"/>
    </row>
    <row r="1492" spans="13:13" x14ac:dyDescent="0.35">
      <c r="M1492" s="11"/>
    </row>
    <row r="1493" spans="13:13" x14ac:dyDescent="0.35">
      <c r="M1493" s="11"/>
    </row>
    <row r="1494" spans="13:13" x14ac:dyDescent="0.35">
      <c r="M1494" s="11"/>
    </row>
    <row r="1495" spans="13:13" x14ac:dyDescent="0.35">
      <c r="M1495" s="11"/>
    </row>
    <row r="1496" spans="13:13" x14ac:dyDescent="0.35">
      <c r="M1496" s="11"/>
    </row>
    <row r="1497" spans="13:13" x14ac:dyDescent="0.35">
      <c r="M1497" s="11"/>
    </row>
    <row r="1498" spans="13:13" x14ac:dyDescent="0.35">
      <c r="M1498" s="11"/>
    </row>
    <row r="1499" spans="13:13" x14ac:dyDescent="0.35">
      <c r="M1499" s="11"/>
    </row>
    <row r="1500" spans="13:13" x14ac:dyDescent="0.35">
      <c r="M1500" s="11"/>
    </row>
    <row r="1501" spans="13:13" x14ac:dyDescent="0.35">
      <c r="M1501" s="11"/>
    </row>
    <row r="1502" spans="13:13" x14ac:dyDescent="0.35">
      <c r="M1502" s="11"/>
    </row>
    <row r="1503" spans="13:13" x14ac:dyDescent="0.35">
      <c r="M1503" s="11"/>
    </row>
    <row r="1504" spans="13:13" x14ac:dyDescent="0.35">
      <c r="M1504" s="11"/>
    </row>
    <row r="1505" spans="13:13" x14ac:dyDescent="0.35">
      <c r="M1505" s="11"/>
    </row>
    <row r="1506" spans="13:13" x14ac:dyDescent="0.35">
      <c r="M1506" s="11"/>
    </row>
    <row r="1507" spans="13:13" x14ac:dyDescent="0.35">
      <c r="M1507" s="11"/>
    </row>
    <row r="1508" spans="13:13" x14ac:dyDescent="0.35">
      <c r="M1508" s="11"/>
    </row>
    <row r="1509" spans="13:13" x14ac:dyDescent="0.35">
      <c r="M1509" s="11"/>
    </row>
    <row r="1510" spans="13:13" x14ac:dyDescent="0.35">
      <c r="M1510" s="11"/>
    </row>
    <row r="1511" spans="13:13" x14ac:dyDescent="0.35">
      <c r="M1511" s="11"/>
    </row>
    <row r="1512" spans="13:13" x14ac:dyDescent="0.35">
      <c r="M1512" s="11"/>
    </row>
    <row r="1513" spans="13:13" x14ac:dyDescent="0.35">
      <c r="M1513" s="11"/>
    </row>
    <row r="1514" spans="13:13" x14ac:dyDescent="0.35">
      <c r="M1514" s="11"/>
    </row>
    <row r="1515" spans="13:13" x14ac:dyDescent="0.35">
      <c r="M1515" s="11"/>
    </row>
    <row r="1516" spans="13:13" x14ac:dyDescent="0.35">
      <c r="M1516" s="11"/>
    </row>
    <row r="1517" spans="13:13" x14ac:dyDescent="0.35">
      <c r="M1517" s="11"/>
    </row>
    <row r="1518" spans="13:13" x14ac:dyDescent="0.35">
      <c r="M1518" s="11"/>
    </row>
    <row r="1519" spans="13:13" x14ac:dyDescent="0.35">
      <c r="M1519" s="11"/>
    </row>
    <row r="1520" spans="13:13" x14ac:dyDescent="0.35">
      <c r="M1520" s="11"/>
    </row>
    <row r="1521" spans="13:13" x14ac:dyDescent="0.35">
      <c r="M1521" s="11"/>
    </row>
    <row r="1522" spans="13:13" x14ac:dyDescent="0.35">
      <c r="M1522" s="11"/>
    </row>
    <row r="1523" spans="13:13" x14ac:dyDescent="0.35">
      <c r="M1523" s="11"/>
    </row>
    <row r="1524" spans="13:13" x14ac:dyDescent="0.35">
      <c r="M1524" s="11"/>
    </row>
    <row r="1525" spans="13:13" x14ac:dyDescent="0.35">
      <c r="M1525" s="11"/>
    </row>
    <row r="1526" spans="13:13" x14ac:dyDescent="0.35">
      <c r="M1526" s="11"/>
    </row>
    <row r="1527" spans="13:13" x14ac:dyDescent="0.35">
      <c r="M1527" s="11"/>
    </row>
    <row r="1528" spans="13:13" x14ac:dyDescent="0.35">
      <c r="M1528" s="11"/>
    </row>
    <row r="1529" spans="13:13" x14ac:dyDescent="0.35">
      <c r="M1529" s="11"/>
    </row>
    <row r="1530" spans="13:13" x14ac:dyDescent="0.35">
      <c r="M1530" s="11"/>
    </row>
    <row r="1531" spans="13:13" x14ac:dyDescent="0.35">
      <c r="M1531" s="11"/>
    </row>
    <row r="1532" spans="13:13" x14ac:dyDescent="0.35">
      <c r="M1532" s="11"/>
    </row>
    <row r="1533" spans="13:13" x14ac:dyDescent="0.35">
      <c r="M1533" s="11"/>
    </row>
    <row r="1534" spans="13:13" x14ac:dyDescent="0.35">
      <c r="M1534" s="11"/>
    </row>
    <row r="1535" spans="13:13" x14ac:dyDescent="0.35">
      <c r="M1535" s="11"/>
    </row>
    <row r="1536" spans="13:13" x14ac:dyDescent="0.35">
      <c r="M1536" s="11"/>
    </row>
    <row r="1537" spans="13:13" x14ac:dyDescent="0.35">
      <c r="M1537" s="11"/>
    </row>
    <row r="1538" spans="13:13" x14ac:dyDescent="0.35">
      <c r="M1538" s="11"/>
    </row>
    <row r="1539" spans="13:13" x14ac:dyDescent="0.35">
      <c r="M1539" s="11"/>
    </row>
    <row r="1540" spans="13:13" x14ac:dyDescent="0.35">
      <c r="M1540" s="11"/>
    </row>
    <row r="1541" spans="13:13" x14ac:dyDescent="0.35">
      <c r="M1541" s="11"/>
    </row>
    <row r="1542" spans="13:13" x14ac:dyDescent="0.35">
      <c r="M1542" s="11"/>
    </row>
    <row r="1543" spans="13:13" x14ac:dyDescent="0.35">
      <c r="M1543" s="11"/>
    </row>
    <row r="1544" spans="13:13" x14ac:dyDescent="0.35">
      <c r="M1544" s="11"/>
    </row>
    <row r="1545" spans="13:13" x14ac:dyDescent="0.35">
      <c r="M1545" s="11"/>
    </row>
    <row r="1546" spans="13:13" x14ac:dyDescent="0.35">
      <c r="M1546" s="11"/>
    </row>
    <row r="1547" spans="13:13" x14ac:dyDescent="0.35">
      <c r="M1547" s="11"/>
    </row>
    <row r="1548" spans="13:13" x14ac:dyDescent="0.35">
      <c r="M1548" s="11"/>
    </row>
    <row r="1549" spans="13:13" x14ac:dyDescent="0.35">
      <c r="M1549" s="11"/>
    </row>
    <row r="1550" spans="13:13" x14ac:dyDescent="0.35">
      <c r="M1550" s="11"/>
    </row>
    <row r="1551" spans="13:13" x14ac:dyDescent="0.35">
      <c r="M1551" s="11"/>
    </row>
    <row r="1552" spans="13:13" x14ac:dyDescent="0.35">
      <c r="M1552" s="11"/>
    </row>
    <row r="1553" spans="13:13" x14ac:dyDescent="0.35">
      <c r="M1553" s="11"/>
    </row>
    <row r="1554" spans="13:13" x14ac:dyDescent="0.35">
      <c r="M1554" s="11"/>
    </row>
    <row r="1555" spans="13:13" x14ac:dyDescent="0.35">
      <c r="M1555" s="11"/>
    </row>
    <row r="1556" spans="13:13" x14ac:dyDescent="0.35">
      <c r="M1556" s="11"/>
    </row>
    <row r="1557" spans="13:13" x14ac:dyDescent="0.35">
      <c r="M1557" s="11"/>
    </row>
    <row r="1558" spans="13:13" x14ac:dyDescent="0.35">
      <c r="M1558" s="11"/>
    </row>
    <row r="1559" spans="13:13" x14ac:dyDescent="0.35">
      <c r="M1559" s="11"/>
    </row>
    <row r="1560" spans="13:13" x14ac:dyDescent="0.35">
      <c r="M1560" s="11"/>
    </row>
    <row r="1561" spans="13:13" x14ac:dyDescent="0.35">
      <c r="M1561" s="11"/>
    </row>
    <row r="1562" spans="13:13" x14ac:dyDescent="0.35">
      <c r="M1562" s="11"/>
    </row>
    <row r="1563" spans="13:13" x14ac:dyDescent="0.35">
      <c r="M1563" s="11"/>
    </row>
    <row r="1564" spans="13:13" x14ac:dyDescent="0.35">
      <c r="M1564" s="11"/>
    </row>
    <row r="1565" spans="13:13" x14ac:dyDescent="0.35">
      <c r="M1565" s="11"/>
    </row>
    <row r="1566" spans="13:13" x14ac:dyDescent="0.35">
      <c r="M1566" s="11"/>
    </row>
    <row r="1567" spans="13:13" x14ac:dyDescent="0.35">
      <c r="M1567" s="11"/>
    </row>
    <row r="1568" spans="13:13" x14ac:dyDescent="0.35">
      <c r="M1568" s="11"/>
    </row>
    <row r="1569" spans="13:13" x14ac:dyDescent="0.35">
      <c r="M1569" s="11"/>
    </row>
    <row r="1570" spans="13:13" x14ac:dyDescent="0.35">
      <c r="M1570" s="11"/>
    </row>
    <row r="1571" spans="13:13" x14ac:dyDescent="0.35">
      <c r="M1571" s="11"/>
    </row>
    <row r="1572" spans="13:13" x14ac:dyDescent="0.35">
      <c r="M1572" s="11"/>
    </row>
    <row r="1573" spans="13:13" x14ac:dyDescent="0.35">
      <c r="M1573" s="11"/>
    </row>
    <row r="1574" spans="13:13" x14ac:dyDescent="0.35">
      <c r="M1574" s="11"/>
    </row>
    <row r="1575" spans="13:13" x14ac:dyDescent="0.35">
      <c r="M1575" s="11"/>
    </row>
    <row r="1576" spans="13:13" x14ac:dyDescent="0.35">
      <c r="M1576" s="11"/>
    </row>
    <row r="1577" spans="13:13" x14ac:dyDescent="0.35">
      <c r="M1577" s="11"/>
    </row>
    <row r="1578" spans="13:13" x14ac:dyDescent="0.35">
      <c r="M1578" s="11"/>
    </row>
    <row r="1579" spans="13:13" x14ac:dyDescent="0.35">
      <c r="M1579" s="11"/>
    </row>
    <row r="1580" spans="13:13" x14ac:dyDescent="0.35">
      <c r="M1580" s="11"/>
    </row>
    <row r="1581" spans="13:13" x14ac:dyDescent="0.35">
      <c r="M1581" s="11"/>
    </row>
    <row r="1582" spans="13:13" x14ac:dyDescent="0.35">
      <c r="M1582" s="11"/>
    </row>
    <row r="1583" spans="13:13" x14ac:dyDescent="0.35">
      <c r="M1583" s="11"/>
    </row>
    <row r="1584" spans="13:13" x14ac:dyDescent="0.35">
      <c r="M1584" s="11"/>
    </row>
    <row r="1585" spans="13:13" x14ac:dyDescent="0.35">
      <c r="M1585" s="11"/>
    </row>
    <row r="1586" spans="13:13" x14ac:dyDescent="0.35">
      <c r="M1586" s="11"/>
    </row>
    <row r="1587" spans="13:13" x14ac:dyDescent="0.35">
      <c r="M1587" s="11"/>
    </row>
    <row r="1588" spans="13:13" x14ac:dyDescent="0.35">
      <c r="M1588" s="11"/>
    </row>
    <row r="1589" spans="13:13" x14ac:dyDescent="0.35">
      <c r="M1589" s="11"/>
    </row>
    <row r="1590" spans="13:13" x14ac:dyDescent="0.35">
      <c r="M1590" s="11"/>
    </row>
    <row r="1591" spans="13:13" x14ac:dyDescent="0.35">
      <c r="M1591" s="11"/>
    </row>
    <row r="1592" spans="13:13" x14ac:dyDescent="0.35">
      <c r="M1592" s="11"/>
    </row>
    <row r="1593" spans="13:13" x14ac:dyDescent="0.35">
      <c r="M1593" s="11"/>
    </row>
    <row r="1594" spans="13:13" x14ac:dyDescent="0.35">
      <c r="M1594" s="11"/>
    </row>
    <row r="1595" spans="13:13" x14ac:dyDescent="0.35">
      <c r="M1595" s="11"/>
    </row>
    <row r="1596" spans="13:13" x14ac:dyDescent="0.35">
      <c r="M1596" s="11"/>
    </row>
    <row r="1597" spans="13:13" x14ac:dyDescent="0.35">
      <c r="M1597" s="11"/>
    </row>
    <row r="1598" spans="13:13" x14ac:dyDescent="0.35">
      <c r="M1598" s="11"/>
    </row>
    <row r="1599" spans="13:13" x14ac:dyDescent="0.35">
      <c r="M1599" s="11"/>
    </row>
    <row r="1600" spans="13:13" x14ac:dyDescent="0.35">
      <c r="M1600" s="11"/>
    </row>
    <row r="1601" spans="13:13" x14ac:dyDescent="0.35">
      <c r="M1601" s="11"/>
    </row>
    <row r="1602" spans="13:13" x14ac:dyDescent="0.35">
      <c r="M1602" s="11"/>
    </row>
    <row r="1603" spans="13:13" x14ac:dyDescent="0.35">
      <c r="M1603" s="11"/>
    </row>
    <row r="1604" spans="13:13" x14ac:dyDescent="0.35">
      <c r="M1604" s="11"/>
    </row>
    <row r="1605" spans="13:13" x14ac:dyDescent="0.35">
      <c r="M1605" s="11"/>
    </row>
    <row r="1606" spans="13:13" x14ac:dyDescent="0.35">
      <c r="M1606" s="11"/>
    </row>
    <row r="1607" spans="13:13" x14ac:dyDescent="0.35">
      <c r="M1607" s="11"/>
    </row>
    <row r="1608" spans="13:13" x14ac:dyDescent="0.35">
      <c r="M1608" s="11"/>
    </row>
    <row r="1609" spans="13:13" x14ac:dyDescent="0.35">
      <c r="M1609" s="11"/>
    </row>
    <row r="1610" spans="13:13" x14ac:dyDescent="0.35">
      <c r="M1610" s="11"/>
    </row>
    <row r="1611" spans="13:13" x14ac:dyDescent="0.35">
      <c r="M1611" s="11"/>
    </row>
    <row r="1612" spans="13:13" x14ac:dyDescent="0.35">
      <c r="M1612" s="11"/>
    </row>
    <row r="1613" spans="13:13" x14ac:dyDescent="0.35">
      <c r="M1613" s="11"/>
    </row>
    <row r="1614" spans="13:13" x14ac:dyDescent="0.35">
      <c r="M1614" s="11"/>
    </row>
    <row r="1615" spans="13:13" x14ac:dyDescent="0.35">
      <c r="M1615" s="11"/>
    </row>
    <row r="1616" spans="13:13" x14ac:dyDescent="0.35">
      <c r="M1616" s="11"/>
    </row>
    <row r="1617" spans="13:13" x14ac:dyDescent="0.35">
      <c r="M1617" s="11"/>
    </row>
    <row r="1618" spans="13:13" x14ac:dyDescent="0.35">
      <c r="M1618" s="11"/>
    </row>
    <row r="1619" spans="13:13" x14ac:dyDescent="0.35">
      <c r="M1619" s="11"/>
    </row>
    <row r="1620" spans="13:13" x14ac:dyDescent="0.35">
      <c r="M1620" s="11"/>
    </row>
    <row r="1621" spans="13:13" x14ac:dyDescent="0.35">
      <c r="M1621" s="11"/>
    </row>
    <row r="1622" spans="13:13" x14ac:dyDescent="0.35">
      <c r="M1622" s="11"/>
    </row>
    <row r="1623" spans="13:13" x14ac:dyDescent="0.35">
      <c r="M1623" s="11"/>
    </row>
    <row r="1624" spans="13:13" x14ac:dyDescent="0.35">
      <c r="M1624" s="11"/>
    </row>
    <row r="1625" spans="13:13" x14ac:dyDescent="0.35">
      <c r="M1625" s="11"/>
    </row>
    <row r="1626" spans="13:13" x14ac:dyDescent="0.35">
      <c r="M1626" s="11"/>
    </row>
    <row r="1627" spans="13:13" x14ac:dyDescent="0.35">
      <c r="M1627" s="11"/>
    </row>
    <row r="1628" spans="13:13" x14ac:dyDescent="0.35">
      <c r="M1628" s="11"/>
    </row>
    <row r="1629" spans="13:13" x14ac:dyDescent="0.35">
      <c r="M1629" s="11"/>
    </row>
    <row r="1630" spans="13:13" x14ac:dyDescent="0.35">
      <c r="M1630" s="11"/>
    </row>
    <row r="1631" spans="13:13" x14ac:dyDescent="0.35">
      <c r="M1631" s="11"/>
    </row>
    <row r="1632" spans="13:13" x14ac:dyDescent="0.35">
      <c r="M1632" s="11"/>
    </row>
    <row r="1633" spans="13:13" x14ac:dyDescent="0.35">
      <c r="M1633" s="11"/>
    </row>
    <row r="1634" spans="13:13" x14ac:dyDescent="0.35">
      <c r="M1634" s="11"/>
    </row>
    <row r="1635" spans="13:13" x14ac:dyDescent="0.35">
      <c r="M1635" s="11"/>
    </row>
    <row r="1636" spans="13:13" x14ac:dyDescent="0.35">
      <c r="M1636" s="11"/>
    </row>
    <row r="1637" spans="13:13" x14ac:dyDescent="0.35">
      <c r="M1637" s="11"/>
    </row>
    <row r="1638" spans="13:13" x14ac:dyDescent="0.35">
      <c r="M1638" s="11"/>
    </row>
    <row r="1639" spans="13:13" x14ac:dyDescent="0.35">
      <c r="M1639" s="11"/>
    </row>
    <row r="1640" spans="13:13" x14ac:dyDescent="0.35">
      <c r="M1640" s="11"/>
    </row>
    <row r="1641" spans="13:13" x14ac:dyDescent="0.35">
      <c r="M1641" s="11"/>
    </row>
    <row r="1642" spans="13:13" x14ac:dyDescent="0.35">
      <c r="M1642" s="11"/>
    </row>
    <row r="1643" spans="13:13" x14ac:dyDescent="0.35">
      <c r="M1643" s="11"/>
    </row>
    <row r="1644" spans="13:13" x14ac:dyDescent="0.35">
      <c r="M1644" s="11"/>
    </row>
    <row r="1645" spans="13:13" x14ac:dyDescent="0.35">
      <c r="M1645" s="11"/>
    </row>
    <row r="1646" spans="13:13" x14ac:dyDescent="0.35">
      <c r="M1646" s="11"/>
    </row>
    <row r="1647" spans="13:13" x14ac:dyDescent="0.35">
      <c r="M1647" s="11"/>
    </row>
    <row r="1648" spans="13:13" x14ac:dyDescent="0.35">
      <c r="M1648" s="11"/>
    </row>
    <row r="1649" spans="13:13" x14ac:dyDescent="0.35">
      <c r="M1649" s="11"/>
    </row>
    <row r="1650" spans="13:13" x14ac:dyDescent="0.35">
      <c r="M1650" s="11"/>
    </row>
    <row r="1651" spans="13:13" x14ac:dyDescent="0.35">
      <c r="M1651" s="11"/>
    </row>
    <row r="1652" spans="13:13" x14ac:dyDescent="0.35">
      <c r="M1652" s="11"/>
    </row>
    <row r="1653" spans="13:13" x14ac:dyDescent="0.35">
      <c r="M1653" s="11"/>
    </row>
    <row r="1654" spans="13:13" x14ac:dyDescent="0.35">
      <c r="M1654" s="11"/>
    </row>
    <row r="1655" spans="13:13" x14ac:dyDescent="0.35">
      <c r="M1655" s="11"/>
    </row>
    <row r="1656" spans="13:13" x14ac:dyDescent="0.35">
      <c r="M1656" s="11"/>
    </row>
    <row r="1657" spans="13:13" x14ac:dyDescent="0.35">
      <c r="M1657" s="11"/>
    </row>
    <row r="1658" spans="13:13" x14ac:dyDescent="0.35">
      <c r="M1658" s="11"/>
    </row>
    <row r="1659" spans="13:13" x14ac:dyDescent="0.35">
      <c r="M1659" s="11"/>
    </row>
    <row r="1660" spans="13:13" x14ac:dyDescent="0.35">
      <c r="M1660" s="11"/>
    </row>
    <row r="1661" spans="13:13" x14ac:dyDescent="0.35">
      <c r="M1661" s="11"/>
    </row>
    <row r="1662" spans="13:13" x14ac:dyDescent="0.35">
      <c r="M1662" s="11"/>
    </row>
    <row r="1663" spans="13:13" x14ac:dyDescent="0.35">
      <c r="M1663" s="11"/>
    </row>
    <row r="1664" spans="13:13" x14ac:dyDescent="0.35">
      <c r="M1664" s="11"/>
    </row>
    <row r="1665" spans="13:13" x14ac:dyDescent="0.35">
      <c r="M1665" s="11"/>
    </row>
    <row r="1666" spans="13:13" x14ac:dyDescent="0.35">
      <c r="M1666" s="11"/>
    </row>
    <row r="1667" spans="13:13" x14ac:dyDescent="0.35">
      <c r="M1667" s="11"/>
    </row>
    <row r="1668" spans="13:13" x14ac:dyDescent="0.35">
      <c r="M1668" s="11"/>
    </row>
    <row r="1669" spans="13:13" x14ac:dyDescent="0.35">
      <c r="M1669" s="11"/>
    </row>
    <row r="1670" spans="13:13" x14ac:dyDescent="0.35">
      <c r="M1670" s="11"/>
    </row>
    <row r="1671" spans="13:13" x14ac:dyDescent="0.35">
      <c r="M1671" s="11"/>
    </row>
    <row r="1672" spans="13:13" x14ac:dyDescent="0.35">
      <c r="M1672" s="11"/>
    </row>
    <row r="1673" spans="13:13" x14ac:dyDescent="0.35">
      <c r="M1673" s="11"/>
    </row>
    <row r="1674" spans="13:13" x14ac:dyDescent="0.35">
      <c r="M1674" s="11"/>
    </row>
    <row r="1675" spans="13:13" x14ac:dyDescent="0.35">
      <c r="M1675" s="11"/>
    </row>
    <row r="1676" spans="13:13" x14ac:dyDescent="0.35">
      <c r="M1676" s="11"/>
    </row>
    <row r="1677" spans="13:13" x14ac:dyDescent="0.35">
      <c r="M1677" s="11"/>
    </row>
    <row r="1678" spans="13:13" x14ac:dyDescent="0.35">
      <c r="M1678" s="11"/>
    </row>
    <row r="1679" spans="13:13" x14ac:dyDescent="0.35">
      <c r="M1679" s="11"/>
    </row>
    <row r="1680" spans="13:13" x14ac:dyDescent="0.35">
      <c r="M1680" s="11"/>
    </row>
    <row r="1681" spans="13:13" x14ac:dyDescent="0.35">
      <c r="M1681" s="11"/>
    </row>
    <row r="1682" spans="13:13" x14ac:dyDescent="0.35">
      <c r="M1682" s="11"/>
    </row>
    <row r="1683" spans="13:13" x14ac:dyDescent="0.35">
      <c r="M1683" s="11"/>
    </row>
    <row r="1684" spans="13:13" x14ac:dyDescent="0.35">
      <c r="M1684" s="11"/>
    </row>
    <row r="1685" spans="13:13" x14ac:dyDescent="0.35">
      <c r="M1685" s="11"/>
    </row>
    <row r="1686" spans="13:13" x14ac:dyDescent="0.35">
      <c r="M1686" s="11"/>
    </row>
    <row r="1687" spans="13:13" x14ac:dyDescent="0.35">
      <c r="M1687" s="11"/>
    </row>
    <row r="1688" spans="13:13" x14ac:dyDescent="0.35">
      <c r="M1688" s="11"/>
    </row>
    <row r="1689" spans="13:13" x14ac:dyDescent="0.35">
      <c r="M1689" s="11"/>
    </row>
    <row r="1690" spans="13:13" x14ac:dyDescent="0.35">
      <c r="M1690" s="11"/>
    </row>
    <row r="1691" spans="13:13" x14ac:dyDescent="0.35">
      <c r="M1691" s="11"/>
    </row>
    <row r="1692" spans="13:13" x14ac:dyDescent="0.35">
      <c r="M1692" s="11"/>
    </row>
    <row r="1693" spans="13:13" x14ac:dyDescent="0.35">
      <c r="M1693" s="11"/>
    </row>
    <row r="1694" spans="13:13" x14ac:dyDescent="0.35">
      <c r="M1694" s="11"/>
    </row>
    <row r="1695" spans="13:13" x14ac:dyDescent="0.35">
      <c r="M1695" s="11"/>
    </row>
    <row r="1696" spans="13:13" x14ac:dyDescent="0.35">
      <c r="M1696" s="11"/>
    </row>
    <row r="1697" spans="13:13" x14ac:dyDescent="0.35">
      <c r="M1697" s="11"/>
    </row>
    <row r="1698" spans="13:13" x14ac:dyDescent="0.35">
      <c r="M1698" s="11"/>
    </row>
    <row r="1699" spans="13:13" x14ac:dyDescent="0.35">
      <c r="M1699" s="11"/>
    </row>
    <row r="1700" spans="13:13" x14ac:dyDescent="0.35">
      <c r="M1700" s="11"/>
    </row>
    <row r="1701" spans="13:13" x14ac:dyDescent="0.35">
      <c r="M1701" s="11"/>
    </row>
    <row r="1702" spans="13:13" x14ac:dyDescent="0.35">
      <c r="M1702" s="11"/>
    </row>
    <row r="1703" spans="13:13" x14ac:dyDescent="0.35">
      <c r="M1703" s="11"/>
    </row>
    <row r="1704" spans="13:13" x14ac:dyDescent="0.35">
      <c r="M1704" s="11"/>
    </row>
    <row r="1705" spans="13:13" x14ac:dyDescent="0.35">
      <c r="M1705" s="11"/>
    </row>
    <row r="1706" spans="13:13" x14ac:dyDescent="0.35">
      <c r="M1706" s="11"/>
    </row>
    <row r="1707" spans="13:13" x14ac:dyDescent="0.35">
      <c r="M1707" s="11"/>
    </row>
    <row r="1708" spans="13:13" x14ac:dyDescent="0.35">
      <c r="M1708" s="11"/>
    </row>
    <row r="1709" spans="13:13" x14ac:dyDescent="0.35">
      <c r="M1709" s="11"/>
    </row>
    <row r="1710" spans="13:13" x14ac:dyDescent="0.35">
      <c r="M1710" s="11"/>
    </row>
    <row r="1711" spans="13:13" x14ac:dyDescent="0.35">
      <c r="M1711" s="11"/>
    </row>
    <row r="1712" spans="13:13" x14ac:dyDescent="0.35">
      <c r="M1712" s="11"/>
    </row>
    <row r="1713" spans="13:13" x14ac:dyDescent="0.35">
      <c r="M1713" s="11"/>
    </row>
    <row r="1714" spans="13:13" x14ac:dyDescent="0.35">
      <c r="M1714" s="11"/>
    </row>
    <row r="1715" spans="13:13" x14ac:dyDescent="0.35">
      <c r="M1715" s="11"/>
    </row>
    <row r="1716" spans="13:13" x14ac:dyDescent="0.35">
      <c r="M1716" s="11"/>
    </row>
    <row r="1717" spans="13:13" x14ac:dyDescent="0.35">
      <c r="M1717" s="11"/>
    </row>
    <row r="1718" spans="13:13" x14ac:dyDescent="0.35">
      <c r="M1718" s="11"/>
    </row>
    <row r="1719" spans="13:13" x14ac:dyDescent="0.35">
      <c r="M1719" s="11"/>
    </row>
    <row r="1720" spans="13:13" x14ac:dyDescent="0.35">
      <c r="M1720" s="11"/>
    </row>
    <row r="1721" spans="13:13" x14ac:dyDescent="0.35">
      <c r="M1721" s="11"/>
    </row>
    <row r="1722" spans="13:13" x14ac:dyDescent="0.35">
      <c r="M1722" s="11"/>
    </row>
    <row r="1723" spans="13:13" x14ac:dyDescent="0.35">
      <c r="M1723" s="11"/>
    </row>
    <row r="1724" spans="13:13" x14ac:dyDescent="0.35">
      <c r="M1724" s="11"/>
    </row>
    <row r="1725" spans="13:13" x14ac:dyDescent="0.35">
      <c r="M1725" s="11"/>
    </row>
    <row r="1726" spans="13:13" x14ac:dyDescent="0.35">
      <c r="M1726" s="11"/>
    </row>
    <row r="1727" spans="13:13" x14ac:dyDescent="0.35">
      <c r="M1727" s="11"/>
    </row>
    <row r="1728" spans="13:13" x14ac:dyDescent="0.35">
      <c r="M1728" s="11"/>
    </row>
    <row r="1729" spans="13:13" x14ac:dyDescent="0.35">
      <c r="M1729" s="11"/>
    </row>
    <row r="1730" spans="13:13" x14ac:dyDescent="0.35">
      <c r="M1730" s="11"/>
    </row>
    <row r="1731" spans="13:13" x14ac:dyDescent="0.35">
      <c r="M1731" s="11"/>
    </row>
    <row r="1732" spans="13:13" x14ac:dyDescent="0.35">
      <c r="M1732" s="11"/>
    </row>
    <row r="1733" spans="13:13" x14ac:dyDescent="0.35">
      <c r="M1733" s="11"/>
    </row>
    <row r="1734" spans="13:13" x14ac:dyDescent="0.35">
      <c r="M1734" s="11"/>
    </row>
    <row r="1735" spans="13:13" x14ac:dyDescent="0.35">
      <c r="M1735" s="11"/>
    </row>
    <row r="1736" spans="13:13" x14ac:dyDescent="0.35">
      <c r="M1736" s="11"/>
    </row>
    <row r="1737" spans="13:13" x14ac:dyDescent="0.35">
      <c r="M1737" s="11"/>
    </row>
    <row r="1738" spans="13:13" x14ac:dyDescent="0.35">
      <c r="M1738" s="11"/>
    </row>
    <row r="1739" spans="13:13" x14ac:dyDescent="0.35">
      <c r="M1739" s="11"/>
    </row>
    <row r="1740" spans="13:13" x14ac:dyDescent="0.35">
      <c r="M1740" s="11"/>
    </row>
    <row r="1741" spans="13:13" x14ac:dyDescent="0.35">
      <c r="M1741" s="11"/>
    </row>
    <row r="1742" spans="13:13" x14ac:dyDescent="0.35">
      <c r="M1742" s="11"/>
    </row>
    <row r="1743" spans="13:13" x14ac:dyDescent="0.35">
      <c r="M1743" s="11"/>
    </row>
    <row r="1744" spans="13:13" x14ac:dyDescent="0.35">
      <c r="M1744" s="11"/>
    </row>
    <row r="1745" spans="13:13" x14ac:dyDescent="0.35">
      <c r="M1745" s="11"/>
    </row>
    <row r="1746" spans="13:13" x14ac:dyDescent="0.35">
      <c r="M1746" s="11"/>
    </row>
    <row r="1747" spans="13:13" x14ac:dyDescent="0.35">
      <c r="M1747" s="11"/>
    </row>
    <row r="1748" spans="13:13" x14ac:dyDescent="0.35">
      <c r="M1748" s="11"/>
    </row>
    <row r="1749" spans="13:13" x14ac:dyDescent="0.35">
      <c r="M1749" s="11"/>
    </row>
    <row r="1750" spans="13:13" x14ac:dyDescent="0.35">
      <c r="M1750" s="11"/>
    </row>
    <row r="1751" spans="13:13" x14ac:dyDescent="0.35">
      <c r="M1751" s="11"/>
    </row>
    <row r="1752" spans="13:13" x14ac:dyDescent="0.35">
      <c r="M1752" s="11"/>
    </row>
    <row r="1753" spans="13:13" x14ac:dyDescent="0.35">
      <c r="M1753" s="11"/>
    </row>
    <row r="1754" spans="13:13" x14ac:dyDescent="0.35">
      <c r="M1754" s="11"/>
    </row>
    <row r="1755" spans="13:13" x14ac:dyDescent="0.35">
      <c r="M1755" s="11"/>
    </row>
    <row r="1756" spans="13:13" x14ac:dyDescent="0.35">
      <c r="M1756" s="11"/>
    </row>
    <row r="1757" spans="13:13" x14ac:dyDescent="0.35">
      <c r="M1757" s="11"/>
    </row>
    <row r="1758" spans="13:13" x14ac:dyDescent="0.35">
      <c r="M1758" s="11"/>
    </row>
    <row r="1759" spans="13:13" x14ac:dyDescent="0.35">
      <c r="M1759" s="11"/>
    </row>
    <row r="1760" spans="13:13" x14ac:dyDescent="0.35">
      <c r="M1760" s="11"/>
    </row>
    <row r="1761" spans="13:13" x14ac:dyDescent="0.35">
      <c r="M1761" s="11"/>
    </row>
    <row r="1762" spans="13:13" x14ac:dyDescent="0.35">
      <c r="M1762" s="11"/>
    </row>
    <row r="1763" spans="13:13" x14ac:dyDescent="0.35">
      <c r="M1763" s="11"/>
    </row>
    <row r="1764" spans="13:13" x14ac:dyDescent="0.35">
      <c r="M1764" s="11"/>
    </row>
    <row r="1765" spans="13:13" x14ac:dyDescent="0.35">
      <c r="M1765" s="11"/>
    </row>
    <row r="1766" spans="13:13" x14ac:dyDescent="0.35">
      <c r="M1766" s="11"/>
    </row>
    <row r="1767" spans="13:13" x14ac:dyDescent="0.35">
      <c r="M1767" s="11"/>
    </row>
    <row r="1768" spans="13:13" x14ac:dyDescent="0.35">
      <c r="M1768" s="11"/>
    </row>
    <row r="1769" spans="13:13" x14ac:dyDescent="0.35">
      <c r="M1769" s="11"/>
    </row>
    <row r="1770" spans="13:13" x14ac:dyDescent="0.35">
      <c r="M1770" s="11"/>
    </row>
    <row r="1771" spans="13:13" x14ac:dyDescent="0.35">
      <c r="M1771" s="11"/>
    </row>
    <row r="1772" spans="13:13" x14ac:dyDescent="0.35">
      <c r="M1772" s="11"/>
    </row>
    <row r="1773" spans="13:13" x14ac:dyDescent="0.35">
      <c r="M1773" s="11"/>
    </row>
    <row r="1774" spans="13:13" x14ac:dyDescent="0.35">
      <c r="M1774" s="11"/>
    </row>
    <row r="1775" spans="13:13" x14ac:dyDescent="0.35">
      <c r="M1775" s="11"/>
    </row>
    <row r="1776" spans="13:13" x14ac:dyDescent="0.35">
      <c r="M1776" s="11"/>
    </row>
    <row r="1777" spans="13:13" x14ac:dyDescent="0.35">
      <c r="M1777" s="11"/>
    </row>
    <row r="1778" spans="13:13" x14ac:dyDescent="0.35">
      <c r="M1778" s="11"/>
    </row>
    <row r="1779" spans="13:13" x14ac:dyDescent="0.35">
      <c r="M1779" s="11"/>
    </row>
    <row r="1780" spans="13:13" x14ac:dyDescent="0.35">
      <c r="M1780" s="11"/>
    </row>
    <row r="1781" spans="13:13" x14ac:dyDescent="0.35">
      <c r="M1781" s="11"/>
    </row>
    <row r="1782" spans="13:13" x14ac:dyDescent="0.35">
      <c r="M1782" s="11"/>
    </row>
    <row r="1783" spans="13:13" x14ac:dyDescent="0.35">
      <c r="M1783" s="11"/>
    </row>
    <row r="1784" spans="13:13" x14ac:dyDescent="0.35">
      <c r="M1784" s="11"/>
    </row>
    <row r="1785" spans="13:13" x14ac:dyDescent="0.35">
      <c r="M1785" s="11"/>
    </row>
    <row r="1786" spans="13:13" x14ac:dyDescent="0.35">
      <c r="M1786" s="11"/>
    </row>
    <row r="1787" spans="13:13" x14ac:dyDescent="0.35">
      <c r="M1787" s="11"/>
    </row>
    <row r="1788" spans="13:13" x14ac:dyDescent="0.35">
      <c r="M1788" s="11"/>
    </row>
    <row r="1789" spans="13:13" x14ac:dyDescent="0.35">
      <c r="M1789" s="11"/>
    </row>
    <row r="1790" spans="13:13" x14ac:dyDescent="0.35">
      <c r="M1790" s="11"/>
    </row>
    <row r="1791" spans="13:13" x14ac:dyDescent="0.35">
      <c r="M1791" s="11"/>
    </row>
    <row r="1792" spans="13:13" x14ac:dyDescent="0.35">
      <c r="M1792" s="11"/>
    </row>
    <row r="1793" spans="13:13" x14ac:dyDescent="0.35">
      <c r="M1793" s="11"/>
    </row>
    <row r="1794" spans="13:13" x14ac:dyDescent="0.35">
      <c r="M1794" s="11"/>
    </row>
    <row r="1795" spans="13:13" x14ac:dyDescent="0.35">
      <c r="M1795" s="11"/>
    </row>
    <row r="1796" spans="13:13" x14ac:dyDescent="0.35">
      <c r="M1796" s="11"/>
    </row>
    <row r="1797" spans="13:13" x14ac:dyDescent="0.35">
      <c r="M1797" s="11"/>
    </row>
    <row r="1798" spans="13:13" x14ac:dyDescent="0.35">
      <c r="M1798" s="11"/>
    </row>
    <row r="1799" spans="13:13" x14ac:dyDescent="0.35">
      <c r="M1799" s="11"/>
    </row>
    <row r="1800" spans="13:13" x14ac:dyDescent="0.35">
      <c r="M1800" s="11"/>
    </row>
    <row r="1801" spans="13:13" x14ac:dyDescent="0.35">
      <c r="M1801" s="11"/>
    </row>
    <row r="1802" spans="13:13" x14ac:dyDescent="0.35">
      <c r="M1802" s="11"/>
    </row>
    <row r="1803" spans="13:13" x14ac:dyDescent="0.35">
      <c r="M1803" s="11"/>
    </row>
    <row r="1804" spans="13:13" x14ac:dyDescent="0.35">
      <c r="M1804" s="11"/>
    </row>
    <row r="1805" spans="13:13" x14ac:dyDescent="0.35">
      <c r="M1805" s="11"/>
    </row>
    <row r="1806" spans="13:13" x14ac:dyDescent="0.35">
      <c r="M1806" s="11"/>
    </row>
    <row r="1807" spans="13:13" x14ac:dyDescent="0.35">
      <c r="M1807" s="11"/>
    </row>
    <row r="1808" spans="13:13" x14ac:dyDescent="0.35">
      <c r="M1808" s="11"/>
    </row>
    <row r="1809" spans="13:13" x14ac:dyDescent="0.35">
      <c r="M1809" s="11"/>
    </row>
    <row r="1810" spans="13:13" x14ac:dyDescent="0.35">
      <c r="M1810" s="11"/>
    </row>
    <row r="1811" spans="13:13" x14ac:dyDescent="0.35">
      <c r="M1811" s="11"/>
    </row>
    <row r="1812" spans="13:13" x14ac:dyDescent="0.35">
      <c r="M1812" s="11"/>
    </row>
    <row r="1813" spans="13:13" x14ac:dyDescent="0.35">
      <c r="M1813" s="11"/>
    </row>
    <row r="1814" spans="13:13" x14ac:dyDescent="0.35">
      <c r="M1814" s="11"/>
    </row>
    <row r="1815" spans="13:13" x14ac:dyDescent="0.35">
      <c r="M1815" s="11"/>
    </row>
    <row r="1816" spans="13:13" x14ac:dyDescent="0.35">
      <c r="M1816" s="11"/>
    </row>
    <row r="1817" spans="13:13" x14ac:dyDescent="0.35">
      <c r="M1817" s="11"/>
    </row>
    <row r="1818" spans="13:13" x14ac:dyDescent="0.35">
      <c r="M1818" s="11"/>
    </row>
    <row r="1819" spans="13:13" x14ac:dyDescent="0.35">
      <c r="M1819" s="11"/>
    </row>
    <row r="1820" spans="13:13" x14ac:dyDescent="0.35">
      <c r="M1820" s="11"/>
    </row>
    <row r="1821" spans="13:13" x14ac:dyDescent="0.35">
      <c r="M1821" s="11"/>
    </row>
    <row r="1822" spans="13:13" x14ac:dyDescent="0.35">
      <c r="M1822" s="11"/>
    </row>
    <row r="1823" spans="13:13" x14ac:dyDescent="0.35">
      <c r="M1823" s="11"/>
    </row>
    <row r="1824" spans="13:13" x14ac:dyDescent="0.35">
      <c r="M1824" s="11"/>
    </row>
    <row r="1825" spans="13:13" x14ac:dyDescent="0.35">
      <c r="M1825" s="11"/>
    </row>
    <row r="1826" spans="13:13" x14ac:dyDescent="0.35">
      <c r="M1826" s="11"/>
    </row>
    <row r="1827" spans="13:13" x14ac:dyDescent="0.35">
      <c r="M1827" s="11"/>
    </row>
    <row r="1828" spans="13:13" x14ac:dyDescent="0.35">
      <c r="M1828" s="11"/>
    </row>
    <row r="1829" spans="13:13" x14ac:dyDescent="0.35">
      <c r="M1829" s="11"/>
    </row>
    <row r="1830" spans="13:13" x14ac:dyDescent="0.35">
      <c r="M1830" s="11"/>
    </row>
    <row r="1831" spans="13:13" x14ac:dyDescent="0.35">
      <c r="M1831" s="11"/>
    </row>
    <row r="1832" spans="13:13" x14ac:dyDescent="0.35">
      <c r="M1832" s="11"/>
    </row>
    <row r="1833" spans="13:13" x14ac:dyDescent="0.35">
      <c r="M1833" s="11"/>
    </row>
    <row r="1834" spans="13:13" x14ac:dyDescent="0.35">
      <c r="M1834" s="11"/>
    </row>
    <row r="1835" spans="13:13" x14ac:dyDescent="0.35">
      <c r="M1835" s="11"/>
    </row>
    <row r="1836" spans="13:13" x14ac:dyDescent="0.35">
      <c r="M1836" s="11"/>
    </row>
    <row r="1837" spans="13:13" x14ac:dyDescent="0.35">
      <c r="M1837" s="11"/>
    </row>
    <row r="1838" spans="13:13" x14ac:dyDescent="0.35">
      <c r="M1838" s="11"/>
    </row>
    <row r="1839" spans="13:13" x14ac:dyDescent="0.35">
      <c r="M1839" s="11"/>
    </row>
    <row r="1840" spans="13:13" x14ac:dyDescent="0.35">
      <c r="M1840" s="11"/>
    </row>
    <row r="1841" spans="13:13" x14ac:dyDescent="0.35">
      <c r="M1841" s="11"/>
    </row>
    <row r="1842" spans="13:13" x14ac:dyDescent="0.35">
      <c r="M1842" s="11"/>
    </row>
    <row r="1843" spans="13:13" x14ac:dyDescent="0.35">
      <c r="M1843" s="11"/>
    </row>
    <row r="1844" spans="13:13" x14ac:dyDescent="0.35">
      <c r="M1844" s="11"/>
    </row>
    <row r="1845" spans="13:13" x14ac:dyDescent="0.35">
      <c r="M1845" s="11"/>
    </row>
    <row r="1846" spans="13:13" x14ac:dyDescent="0.35">
      <c r="M1846" s="11"/>
    </row>
    <row r="1847" spans="13:13" x14ac:dyDescent="0.35">
      <c r="M1847" s="11"/>
    </row>
    <row r="1848" spans="13:13" x14ac:dyDescent="0.35">
      <c r="M1848" s="11"/>
    </row>
    <row r="1849" spans="13:13" x14ac:dyDescent="0.35">
      <c r="M1849" s="11"/>
    </row>
    <row r="1850" spans="13:13" x14ac:dyDescent="0.35">
      <c r="M1850" s="11"/>
    </row>
    <row r="1851" spans="13:13" x14ac:dyDescent="0.35">
      <c r="M1851" s="11"/>
    </row>
    <row r="1852" spans="13:13" x14ac:dyDescent="0.35">
      <c r="M1852" s="11"/>
    </row>
    <row r="1853" spans="13:13" x14ac:dyDescent="0.35">
      <c r="M1853" s="11"/>
    </row>
    <row r="1854" spans="13:13" x14ac:dyDescent="0.35">
      <c r="M1854" s="11"/>
    </row>
    <row r="1855" spans="13:13" x14ac:dyDescent="0.35">
      <c r="M1855" s="11"/>
    </row>
    <row r="1856" spans="13:13" x14ac:dyDescent="0.35">
      <c r="M1856" s="11"/>
    </row>
    <row r="1857" spans="13:13" x14ac:dyDescent="0.35">
      <c r="M1857" s="11"/>
    </row>
    <row r="1858" spans="13:13" x14ac:dyDescent="0.35">
      <c r="M1858" s="11"/>
    </row>
    <row r="1859" spans="13:13" x14ac:dyDescent="0.35">
      <c r="M1859" s="11"/>
    </row>
    <row r="1860" spans="13:13" x14ac:dyDescent="0.35">
      <c r="M1860" s="11"/>
    </row>
    <row r="1861" spans="13:13" x14ac:dyDescent="0.35">
      <c r="M1861" s="11"/>
    </row>
    <row r="1862" spans="13:13" x14ac:dyDescent="0.35">
      <c r="M1862" s="11"/>
    </row>
    <row r="1863" spans="13:13" x14ac:dyDescent="0.35">
      <c r="M1863" s="11"/>
    </row>
    <row r="1864" spans="13:13" x14ac:dyDescent="0.35">
      <c r="M1864" s="11"/>
    </row>
    <row r="1865" spans="13:13" x14ac:dyDescent="0.35">
      <c r="M1865" s="11"/>
    </row>
    <row r="1866" spans="13:13" x14ac:dyDescent="0.35">
      <c r="M1866" s="11"/>
    </row>
    <row r="1867" spans="13:13" x14ac:dyDescent="0.35">
      <c r="M1867" s="11"/>
    </row>
    <row r="1868" spans="13:13" x14ac:dyDescent="0.35">
      <c r="M1868" s="11"/>
    </row>
    <row r="1869" spans="13:13" x14ac:dyDescent="0.35">
      <c r="M1869" s="11"/>
    </row>
    <row r="1870" spans="13:13" x14ac:dyDescent="0.35">
      <c r="M1870" s="11"/>
    </row>
    <row r="1871" spans="13:13" x14ac:dyDescent="0.35">
      <c r="M1871" s="11"/>
    </row>
    <row r="1872" spans="13:13" x14ac:dyDescent="0.35">
      <c r="M1872" s="11"/>
    </row>
    <row r="1873" spans="13:13" x14ac:dyDescent="0.35">
      <c r="M1873" s="11"/>
    </row>
    <row r="1874" spans="13:13" x14ac:dyDescent="0.35">
      <c r="M1874" s="11"/>
    </row>
    <row r="1875" spans="13:13" x14ac:dyDescent="0.35">
      <c r="M1875" s="11"/>
    </row>
    <row r="1876" spans="13:13" x14ac:dyDescent="0.35">
      <c r="M1876" s="11"/>
    </row>
    <row r="1877" spans="13:13" x14ac:dyDescent="0.35">
      <c r="M1877" s="11"/>
    </row>
    <row r="1878" spans="13:13" x14ac:dyDescent="0.35">
      <c r="M1878" s="11"/>
    </row>
    <row r="1879" spans="13:13" x14ac:dyDescent="0.35">
      <c r="M1879" s="11"/>
    </row>
    <row r="1880" spans="13:13" x14ac:dyDescent="0.35">
      <c r="M1880" s="11"/>
    </row>
    <row r="1881" spans="13:13" x14ac:dyDescent="0.35">
      <c r="M1881" s="11"/>
    </row>
    <row r="1882" spans="13:13" x14ac:dyDescent="0.35">
      <c r="M1882" s="11"/>
    </row>
    <row r="1883" spans="13:13" x14ac:dyDescent="0.35">
      <c r="M1883" s="11"/>
    </row>
    <row r="1884" spans="13:13" x14ac:dyDescent="0.35">
      <c r="M1884" s="11"/>
    </row>
    <row r="1885" spans="13:13" x14ac:dyDescent="0.35">
      <c r="M1885" s="11"/>
    </row>
    <row r="1886" spans="13:13" x14ac:dyDescent="0.35">
      <c r="M1886" s="11"/>
    </row>
    <row r="1887" spans="13:13" x14ac:dyDescent="0.35">
      <c r="M1887" s="11"/>
    </row>
    <row r="1888" spans="13:13" x14ac:dyDescent="0.35">
      <c r="M1888" s="11"/>
    </row>
    <row r="1889" spans="13:13" x14ac:dyDescent="0.35">
      <c r="M1889" s="11"/>
    </row>
    <row r="1890" spans="13:13" x14ac:dyDescent="0.35">
      <c r="M1890" s="11"/>
    </row>
    <row r="1891" spans="13:13" x14ac:dyDescent="0.35">
      <c r="M1891" s="11"/>
    </row>
    <row r="1892" spans="13:13" x14ac:dyDescent="0.35">
      <c r="M1892" s="11"/>
    </row>
    <row r="1893" spans="13:13" x14ac:dyDescent="0.35">
      <c r="M1893" s="11"/>
    </row>
    <row r="1894" spans="13:13" x14ac:dyDescent="0.35">
      <c r="M1894" s="11"/>
    </row>
    <row r="1895" spans="13:13" x14ac:dyDescent="0.35">
      <c r="M1895" s="11"/>
    </row>
    <row r="1896" spans="13:13" x14ac:dyDescent="0.35">
      <c r="M1896" s="11"/>
    </row>
    <row r="1897" spans="13:13" x14ac:dyDescent="0.35">
      <c r="M1897" s="11"/>
    </row>
    <row r="1898" spans="13:13" x14ac:dyDescent="0.35">
      <c r="M1898" s="11"/>
    </row>
    <row r="1899" spans="13:13" x14ac:dyDescent="0.35">
      <c r="M1899" s="11"/>
    </row>
    <row r="1900" spans="13:13" x14ac:dyDescent="0.35">
      <c r="M1900" s="11"/>
    </row>
    <row r="1901" spans="13:13" x14ac:dyDescent="0.35">
      <c r="M1901" s="11"/>
    </row>
    <row r="1902" spans="13:13" x14ac:dyDescent="0.35">
      <c r="M1902" s="11"/>
    </row>
    <row r="1903" spans="13:13" x14ac:dyDescent="0.35">
      <c r="M1903" s="11"/>
    </row>
    <row r="1904" spans="13:13" x14ac:dyDescent="0.35">
      <c r="M1904" s="11"/>
    </row>
    <row r="1905" spans="13:13" x14ac:dyDescent="0.35">
      <c r="M1905" s="11"/>
    </row>
    <row r="1906" spans="13:13" x14ac:dyDescent="0.35">
      <c r="M1906" s="11"/>
    </row>
    <row r="1907" spans="13:13" x14ac:dyDescent="0.35">
      <c r="M1907" s="11"/>
    </row>
    <row r="1908" spans="13:13" x14ac:dyDescent="0.35">
      <c r="M1908" s="11"/>
    </row>
    <row r="1909" spans="13:13" x14ac:dyDescent="0.35">
      <c r="M1909" s="11"/>
    </row>
    <row r="1910" spans="13:13" x14ac:dyDescent="0.35">
      <c r="M1910" s="11"/>
    </row>
    <row r="1911" spans="13:13" x14ac:dyDescent="0.35">
      <c r="M1911" s="11"/>
    </row>
    <row r="1912" spans="13:13" x14ac:dyDescent="0.35">
      <c r="M1912" s="11"/>
    </row>
    <row r="1913" spans="13:13" x14ac:dyDescent="0.35">
      <c r="M1913" s="11"/>
    </row>
    <row r="1914" spans="13:13" x14ac:dyDescent="0.35">
      <c r="M1914" s="11"/>
    </row>
    <row r="1915" spans="13:13" x14ac:dyDescent="0.35">
      <c r="M1915" s="11"/>
    </row>
    <row r="1916" spans="13:13" x14ac:dyDescent="0.35">
      <c r="M1916" s="11"/>
    </row>
    <row r="1917" spans="13:13" x14ac:dyDescent="0.35">
      <c r="M1917" s="11"/>
    </row>
    <row r="1918" spans="13:13" x14ac:dyDescent="0.35">
      <c r="M1918" s="11"/>
    </row>
    <row r="1919" spans="13:13" x14ac:dyDescent="0.35">
      <c r="M1919" s="11"/>
    </row>
    <row r="1920" spans="13:13" x14ac:dyDescent="0.35">
      <c r="M1920" s="11"/>
    </row>
    <row r="1921" spans="13:13" x14ac:dyDescent="0.35">
      <c r="M1921" s="11"/>
    </row>
    <row r="1922" spans="13:13" x14ac:dyDescent="0.35">
      <c r="M1922" s="11"/>
    </row>
    <row r="1923" spans="13:13" x14ac:dyDescent="0.35">
      <c r="M1923" s="11"/>
    </row>
    <row r="1924" spans="13:13" x14ac:dyDescent="0.35">
      <c r="M1924" s="11"/>
    </row>
    <row r="1925" spans="13:13" x14ac:dyDescent="0.35">
      <c r="M1925" s="11"/>
    </row>
    <row r="1926" spans="13:13" x14ac:dyDescent="0.35">
      <c r="M1926" s="11"/>
    </row>
    <row r="1927" spans="13:13" x14ac:dyDescent="0.35">
      <c r="M1927" s="11"/>
    </row>
    <row r="1928" spans="13:13" x14ac:dyDescent="0.35">
      <c r="M1928" s="11"/>
    </row>
    <row r="1929" spans="13:13" x14ac:dyDescent="0.35">
      <c r="M1929" s="11"/>
    </row>
    <row r="1930" spans="13:13" x14ac:dyDescent="0.35">
      <c r="M1930" s="11"/>
    </row>
    <row r="1931" spans="13:13" x14ac:dyDescent="0.35">
      <c r="M1931" s="11"/>
    </row>
    <row r="1932" spans="13:13" x14ac:dyDescent="0.35">
      <c r="M1932" s="11"/>
    </row>
    <row r="1933" spans="13:13" x14ac:dyDescent="0.35">
      <c r="M1933" s="11"/>
    </row>
    <row r="1934" spans="13:13" x14ac:dyDescent="0.35">
      <c r="M1934" s="11"/>
    </row>
    <row r="1935" spans="13:13" x14ac:dyDescent="0.35">
      <c r="M1935" s="11"/>
    </row>
    <row r="1936" spans="13:13" x14ac:dyDescent="0.35">
      <c r="M1936" s="11"/>
    </row>
    <row r="1937" spans="13:13" x14ac:dyDescent="0.35">
      <c r="M1937" s="11"/>
    </row>
    <row r="1938" spans="13:13" x14ac:dyDescent="0.35">
      <c r="M1938" s="11"/>
    </row>
    <row r="1939" spans="13:13" x14ac:dyDescent="0.35">
      <c r="M1939" s="11"/>
    </row>
    <row r="1940" spans="13:13" x14ac:dyDescent="0.35">
      <c r="M1940" s="11"/>
    </row>
    <row r="1941" spans="13:13" x14ac:dyDescent="0.35">
      <c r="M1941" s="11"/>
    </row>
    <row r="1942" spans="13:13" x14ac:dyDescent="0.35">
      <c r="M1942" s="11"/>
    </row>
    <row r="1943" spans="13:13" x14ac:dyDescent="0.35">
      <c r="M1943" s="11"/>
    </row>
    <row r="1944" spans="13:13" x14ac:dyDescent="0.35">
      <c r="M1944" s="11"/>
    </row>
    <row r="1945" spans="13:13" x14ac:dyDescent="0.35">
      <c r="M1945" s="11"/>
    </row>
    <row r="1946" spans="13:13" x14ac:dyDescent="0.35">
      <c r="M1946" s="11"/>
    </row>
    <row r="1947" spans="13:13" x14ac:dyDescent="0.35">
      <c r="M1947" s="11"/>
    </row>
    <row r="1948" spans="13:13" x14ac:dyDescent="0.35">
      <c r="M1948" s="11"/>
    </row>
    <row r="1949" spans="13:13" x14ac:dyDescent="0.35">
      <c r="M1949" s="11"/>
    </row>
    <row r="1950" spans="13:13" x14ac:dyDescent="0.35">
      <c r="M1950" s="11"/>
    </row>
    <row r="1951" spans="13:13" x14ac:dyDescent="0.35">
      <c r="M1951" s="11"/>
    </row>
    <row r="1952" spans="13:13" x14ac:dyDescent="0.35">
      <c r="M1952" s="11"/>
    </row>
    <row r="1953" spans="13:13" x14ac:dyDescent="0.35">
      <c r="M1953" s="11"/>
    </row>
    <row r="1954" spans="13:13" x14ac:dyDescent="0.35">
      <c r="M1954" s="11"/>
    </row>
    <row r="1955" spans="13:13" x14ac:dyDescent="0.35">
      <c r="M1955" s="11"/>
    </row>
    <row r="1956" spans="13:13" x14ac:dyDescent="0.35">
      <c r="M1956" s="11"/>
    </row>
    <row r="1957" spans="13:13" x14ac:dyDescent="0.35">
      <c r="M1957" s="11"/>
    </row>
    <row r="1958" spans="13:13" x14ac:dyDescent="0.35">
      <c r="M1958" s="11"/>
    </row>
    <row r="1959" spans="13:13" x14ac:dyDescent="0.35">
      <c r="M1959" s="11"/>
    </row>
    <row r="1960" spans="13:13" x14ac:dyDescent="0.35">
      <c r="M1960" s="11"/>
    </row>
    <row r="1961" spans="13:13" x14ac:dyDescent="0.35">
      <c r="M1961" s="11"/>
    </row>
    <row r="1962" spans="13:13" x14ac:dyDescent="0.35">
      <c r="M1962" s="11"/>
    </row>
    <row r="1963" spans="13:13" x14ac:dyDescent="0.35">
      <c r="M1963" s="11"/>
    </row>
    <row r="1964" spans="13:13" x14ac:dyDescent="0.35">
      <c r="M1964" s="11"/>
    </row>
    <row r="1965" spans="13:13" x14ac:dyDescent="0.35">
      <c r="M1965" s="11"/>
    </row>
    <row r="1966" spans="13:13" x14ac:dyDescent="0.35">
      <c r="M1966" s="11"/>
    </row>
    <row r="1967" spans="13:13" x14ac:dyDescent="0.35">
      <c r="M1967" s="11"/>
    </row>
    <row r="1968" spans="13:13" x14ac:dyDescent="0.35">
      <c r="M1968" s="11"/>
    </row>
    <row r="1969" spans="13:13" x14ac:dyDescent="0.35">
      <c r="M1969" s="11"/>
    </row>
    <row r="1970" spans="13:13" x14ac:dyDescent="0.35">
      <c r="M1970" s="11"/>
    </row>
    <row r="1971" spans="13:13" x14ac:dyDescent="0.35">
      <c r="M1971" s="11"/>
    </row>
    <row r="1972" spans="13:13" x14ac:dyDescent="0.35">
      <c r="M1972" s="11"/>
    </row>
    <row r="1973" spans="13:13" x14ac:dyDescent="0.35">
      <c r="M1973" s="11"/>
    </row>
    <row r="1974" spans="13:13" x14ac:dyDescent="0.35">
      <c r="M1974" s="11"/>
    </row>
    <row r="1975" spans="13:13" x14ac:dyDescent="0.35">
      <c r="M1975" s="11"/>
    </row>
    <row r="1976" spans="13:13" x14ac:dyDescent="0.35">
      <c r="M1976" s="11"/>
    </row>
    <row r="1977" spans="13:13" x14ac:dyDescent="0.35">
      <c r="M1977" s="11"/>
    </row>
    <row r="1978" spans="13:13" x14ac:dyDescent="0.35">
      <c r="M1978" s="11"/>
    </row>
    <row r="1979" spans="13:13" x14ac:dyDescent="0.35">
      <c r="M1979" s="11"/>
    </row>
    <row r="1980" spans="13:13" x14ac:dyDescent="0.35">
      <c r="M1980" s="11"/>
    </row>
    <row r="1981" spans="13:13" x14ac:dyDescent="0.35">
      <c r="M1981" s="11"/>
    </row>
    <row r="1982" spans="13:13" x14ac:dyDescent="0.35">
      <c r="M1982" s="11"/>
    </row>
    <row r="1983" spans="13:13" x14ac:dyDescent="0.35">
      <c r="M1983" s="11"/>
    </row>
    <row r="1984" spans="13:13" x14ac:dyDescent="0.35">
      <c r="M1984" s="11"/>
    </row>
    <row r="1985" spans="13:13" x14ac:dyDescent="0.35">
      <c r="M1985" s="11"/>
    </row>
    <row r="1986" spans="13:13" x14ac:dyDescent="0.35">
      <c r="M1986" s="11"/>
    </row>
    <row r="1987" spans="13:13" x14ac:dyDescent="0.35">
      <c r="M1987" s="11"/>
    </row>
    <row r="1988" spans="13:13" x14ac:dyDescent="0.35">
      <c r="M1988" s="11"/>
    </row>
    <row r="1989" spans="13:13" x14ac:dyDescent="0.35">
      <c r="M1989" s="11"/>
    </row>
    <row r="1990" spans="13:13" x14ac:dyDescent="0.35">
      <c r="M1990" s="11"/>
    </row>
    <row r="1991" spans="13:13" x14ac:dyDescent="0.35">
      <c r="M1991" s="11"/>
    </row>
    <row r="1992" spans="13:13" x14ac:dyDescent="0.35">
      <c r="M1992" s="11"/>
    </row>
    <row r="1993" spans="13:13" x14ac:dyDescent="0.35">
      <c r="M1993" s="11"/>
    </row>
    <row r="1994" spans="13:13" x14ac:dyDescent="0.35">
      <c r="M1994" s="11"/>
    </row>
    <row r="1995" spans="13:13" x14ac:dyDescent="0.35">
      <c r="M1995" s="11"/>
    </row>
    <row r="1996" spans="13:13" x14ac:dyDescent="0.35">
      <c r="M1996" s="11"/>
    </row>
    <row r="1997" spans="13:13" x14ac:dyDescent="0.35">
      <c r="M1997" s="11"/>
    </row>
    <row r="1998" spans="13:13" x14ac:dyDescent="0.35">
      <c r="M1998" s="11"/>
    </row>
    <row r="1999" spans="13:13" x14ac:dyDescent="0.35">
      <c r="M1999" s="11"/>
    </row>
    <row r="2000" spans="13:13" x14ac:dyDescent="0.35">
      <c r="M2000" s="11"/>
    </row>
    <row r="2001" spans="13:13" x14ac:dyDescent="0.35">
      <c r="M2001" s="11"/>
    </row>
    <row r="2002" spans="13:13" x14ac:dyDescent="0.35">
      <c r="M2002" s="11"/>
    </row>
    <row r="2003" spans="13:13" x14ac:dyDescent="0.35">
      <c r="M2003" s="11"/>
    </row>
    <row r="2004" spans="13:13" x14ac:dyDescent="0.35">
      <c r="M2004" s="11"/>
    </row>
    <row r="2005" spans="13:13" x14ac:dyDescent="0.35">
      <c r="M2005" s="11"/>
    </row>
    <row r="2006" spans="13:13" x14ac:dyDescent="0.35">
      <c r="M2006" s="11"/>
    </row>
    <row r="2007" spans="13:13" x14ac:dyDescent="0.35">
      <c r="M2007" s="11"/>
    </row>
    <row r="2008" spans="13:13" x14ac:dyDescent="0.35">
      <c r="M2008" s="11"/>
    </row>
    <row r="2009" spans="13:13" x14ac:dyDescent="0.35">
      <c r="M2009" s="11"/>
    </row>
    <row r="2010" spans="13:13" x14ac:dyDescent="0.35">
      <c r="M2010" s="11"/>
    </row>
    <row r="2011" spans="13:13" x14ac:dyDescent="0.35">
      <c r="M2011" s="11"/>
    </row>
    <row r="2012" spans="13:13" x14ac:dyDescent="0.35">
      <c r="M2012" s="11"/>
    </row>
    <row r="2013" spans="13:13" x14ac:dyDescent="0.35">
      <c r="M2013" s="11"/>
    </row>
    <row r="2014" spans="13:13" x14ac:dyDescent="0.35">
      <c r="M2014" s="11"/>
    </row>
    <row r="2015" spans="13:13" x14ac:dyDescent="0.35">
      <c r="M2015" s="11"/>
    </row>
    <row r="2016" spans="13:13" x14ac:dyDescent="0.35">
      <c r="M2016" s="11"/>
    </row>
    <row r="2017" spans="13:13" x14ac:dyDescent="0.35">
      <c r="M2017" s="11"/>
    </row>
    <row r="2018" spans="13:13" x14ac:dyDescent="0.35">
      <c r="M2018" s="11"/>
    </row>
    <row r="2019" spans="13:13" x14ac:dyDescent="0.35">
      <c r="M2019" s="11"/>
    </row>
    <row r="2020" spans="13:13" x14ac:dyDescent="0.35">
      <c r="M2020" s="11"/>
    </row>
    <row r="2021" spans="13:13" x14ac:dyDescent="0.35">
      <c r="M2021" s="11"/>
    </row>
    <row r="2022" spans="13:13" x14ac:dyDescent="0.35">
      <c r="M2022" s="11"/>
    </row>
    <row r="2023" spans="13:13" x14ac:dyDescent="0.35">
      <c r="M2023" s="11"/>
    </row>
    <row r="2024" spans="13:13" x14ac:dyDescent="0.35">
      <c r="M2024" s="11"/>
    </row>
    <row r="2025" spans="13:13" x14ac:dyDescent="0.35">
      <c r="M2025" s="11"/>
    </row>
    <row r="2026" spans="13:13" x14ac:dyDescent="0.35">
      <c r="M2026" s="11"/>
    </row>
    <row r="2027" spans="13:13" x14ac:dyDescent="0.35">
      <c r="M2027" s="11"/>
    </row>
    <row r="2028" spans="13:13" x14ac:dyDescent="0.35">
      <c r="M2028" s="11"/>
    </row>
    <row r="2029" spans="13:13" x14ac:dyDescent="0.35">
      <c r="M2029" s="11"/>
    </row>
    <row r="2030" spans="13:13" x14ac:dyDescent="0.35">
      <c r="M2030" s="11"/>
    </row>
    <row r="2031" spans="13:13" x14ac:dyDescent="0.35">
      <c r="M2031" s="11"/>
    </row>
    <row r="2032" spans="13:13" x14ac:dyDescent="0.35">
      <c r="M2032" s="11"/>
    </row>
    <row r="2033" spans="13:13" x14ac:dyDescent="0.35">
      <c r="M2033" s="11"/>
    </row>
    <row r="2034" spans="13:13" x14ac:dyDescent="0.35">
      <c r="M2034" s="11"/>
    </row>
    <row r="2035" spans="13:13" x14ac:dyDescent="0.35">
      <c r="M2035" s="11"/>
    </row>
    <row r="2036" spans="13:13" x14ac:dyDescent="0.35">
      <c r="M2036" s="11"/>
    </row>
    <row r="2037" spans="13:13" x14ac:dyDescent="0.35">
      <c r="M2037" s="11"/>
    </row>
    <row r="2038" spans="13:13" x14ac:dyDescent="0.35">
      <c r="M2038" s="11"/>
    </row>
    <row r="2039" spans="13:13" x14ac:dyDescent="0.35">
      <c r="M2039" s="11"/>
    </row>
    <row r="2040" spans="13:13" x14ac:dyDescent="0.35">
      <c r="M2040" s="11"/>
    </row>
    <row r="2041" spans="13:13" x14ac:dyDescent="0.35">
      <c r="M2041" s="11"/>
    </row>
    <row r="2042" spans="13:13" x14ac:dyDescent="0.35">
      <c r="M2042" s="11"/>
    </row>
    <row r="2043" spans="13:13" x14ac:dyDescent="0.35">
      <c r="M2043" s="11"/>
    </row>
    <row r="2044" spans="13:13" x14ac:dyDescent="0.35">
      <c r="M2044" s="11"/>
    </row>
    <row r="2045" spans="13:13" x14ac:dyDescent="0.35">
      <c r="M2045" s="11"/>
    </row>
    <row r="2046" spans="13:13" x14ac:dyDescent="0.35">
      <c r="M2046" s="11"/>
    </row>
    <row r="2047" spans="13:13" x14ac:dyDescent="0.35">
      <c r="M2047" s="11"/>
    </row>
    <row r="2048" spans="13:13" x14ac:dyDescent="0.35">
      <c r="M2048" s="11"/>
    </row>
    <row r="2049" spans="13:13" x14ac:dyDescent="0.35">
      <c r="M2049" s="11"/>
    </row>
    <row r="2050" spans="13:13" x14ac:dyDescent="0.35">
      <c r="M2050" s="11"/>
    </row>
    <row r="2051" spans="13:13" x14ac:dyDescent="0.35">
      <c r="M2051" s="11"/>
    </row>
    <row r="2052" spans="13:13" x14ac:dyDescent="0.35">
      <c r="M2052" s="11"/>
    </row>
    <row r="2053" spans="13:13" x14ac:dyDescent="0.35">
      <c r="M2053" s="11"/>
    </row>
    <row r="2054" spans="13:13" x14ac:dyDescent="0.35">
      <c r="M2054" s="11"/>
    </row>
    <row r="2055" spans="13:13" x14ac:dyDescent="0.35">
      <c r="M2055" s="11"/>
    </row>
    <row r="2056" spans="13:13" x14ac:dyDescent="0.35">
      <c r="M2056" s="11"/>
    </row>
    <row r="2057" spans="13:13" x14ac:dyDescent="0.35">
      <c r="M2057" s="11"/>
    </row>
    <row r="2058" spans="13:13" x14ac:dyDescent="0.35">
      <c r="M2058" s="11"/>
    </row>
    <row r="2059" spans="13:13" x14ac:dyDescent="0.35">
      <c r="M2059" s="11"/>
    </row>
    <row r="2060" spans="13:13" x14ac:dyDescent="0.35">
      <c r="M2060" s="11"/>
    </row>
    <row r="2061" spans="13:13" x14ac:dyDescent="0.35">
      <c r="M2061" s="11"/>
    </row>
    <row r="2062" spans="13:13" x14ac:dyDescent="0.35">
      <c r="M2062" s="11"/>
    </row>
    <row r="2063" spans="13:13" x14ac:dyDescent="0.35">
      <c r="M2063" s="11"/>
    </row>
    <row r="2064" spans="13:13" x14ac:dyDescent="0.35">
      <c r="M2064" s="11"/>
    </row>
    <row r="2065" spans="13:13" x14ac:dyDescent="0.35">
      <c r="M2065" s="11"/>
    </row>
    <row r="2066" spans="13:13" x14ac:dyDescent="0.35">
      <c r="M2066" s="11"/>
    </row>
    <row r="2067" spans="13:13" x14ac:dyDescent="0.35">
      <c r="M2067" s="11"/>
    </row>
    <row r="2068" spans="13:13" x14ac:dyDescent="0.35">
      <c r="M2068" s="11"/>
    </row>
    <row r="2069" spans="13:13" x14ac:dyDescent="0.35">
      <c r="M2069" s="11"/>
    </row>
    <row r="2070" spans="13:13" x14ac:dyDescent="0.35">
      <c r="M2070" s="11"/>
    </row>
    <row r="2071" spans="13:13" x14ac:dyDescent="0.35">
      <c r="M2071" s="11"/>
    </row>
    <row r="2072" spans="13:13" x14ac:dyDescent="0.35">
      <c r="M2072" s="11"/>
    </row>
    <row r="2073" spans="13:13" x14ac:dyDescent="0.35">
      <c r="M2073" s="11"/>
    </row>
    <row r="2074" spans="13:13" x14ac:dyDescent="0.35">
      <c r="M2074" s="11"/>
    </row>
    <row r="2075" spans="13:13" x14ac:dyDescent="0.35">
      <c r="M2075" s="11"/>
    </row>
    <row r="2076" spans="13:13" x14ac:dyDescent="0.35">
      <c r="M2076" s="11"/>
    </row>
    <row r="2077" spans="13:13" x14ac:dyDescent="0.35">
      <c r="M2077" s="11"/>
    </row>
    <row r="2078" spans="13:13" x14ac:dyDescent="0.35">
      <c r="M2078" s="11"/>
    </row>
    <row r="2079" spans="13:13" x14ac:dyDescent="0.35">
      <c r="M2079" s="11"/>
    </row>
    <row r="2080" spans="13:13" x14ac:dyDescent="0.35">
      <c r="M2080" s="11"/>
    </row>
    <row r="2081" spans="13:13" x14ac:dyDescent="0.35">
      <c r="M2081" s="11"/>
    </row>
    <row r="2082" spans="13:13" x14ac:dyDescent="0.35">
      <c r="M2082" s="11"/>
    </row>
    <row r="2083" spans="13:13" x14ac:dyDescent="0.35">
      <c r="M2083" s="11"/>
    </row>
    <row r="2084" spans="13:13" x14ac:dyDescent="0.35">
      <c r="M2084" s="11"/>
    </row>
    <row r="2085" spans="13:13" x14ac:dyDescent="0.35">
      <c r="M2085" s="11"/>
    </row>
    <row r="2086" spans="13:13" x14ac:dyDescent="0.35">
      <c r="M2086" s="11"/>
    </row>
    <row r="2087" spans="13:13" x14ac:dyDescent="0.35">
      <c r="M2087" s="11"/>
    </row>
    <row r="2088" spans="13:13" x14ac:dyDescent="0.35">
      <c r="M2088" s="11"/>
    </row>
    <row r="2089" spans="13:13" x14ac:dyDescent="0.35">
      <c r="M2089" s="11"/>
    </row>
    <row r="2090" spans="13:13" x14ac:dyDescent="0.35">
      <c r="M2090" s="11"/>
    </row>
    <row r="2091" spans="13:13" x14ac:dyDescent="0.35">
      <c r="M2091" s="11"/>
    </row>
    <row r="2092" spans="13:13" x14ac:dyDescent="0.35">
      <c r="M2092" s="11"/>
    </row>
    <row r="2093" spans="13:13" x14ac:dyDescent="0.35">
      <c r="M2093" s="11"/>
    </row>
    <row r="2094" spans="13:13" x14ac:dyDescent="0.35">
      <c r="M2094" s="11"/>
    </row>
    <row r="2095" spans="13:13" x14ac:dyDescent="0.35">
      <c r="M2095" s="11"/>
    </row>
    <row r="2096" spans="13:13" x14ac:dyDescent="0.35">
      <c r="M2096" s="11"/>
    </row>
    <row r="2097" spans="13:13" x14ac:dyDescent="0.35">
      <c r="M2097" s="11"/>
    </row>
    <row r="2098" spans="13:13" x14ac:dyDescent="0.35">
      <c r="M2098" s="11"/>
    </row>
    <row r="2099" spans="13:13" x14ac:dyDescent="0.35">
      <c r="M2099" s="11"/>
    </row>
    <row r="2100" spans="13:13" x14ac:dyDescent="0.35">
      <c r="M2100" s="11"/>
    </row>
    <row r="2101" spans="13:13" x14ac:dyDescent="0.35">
      <c r="M2101" s="11"/>
    </row>
    <row r="2102" spans="13:13" x14ac:dyDescent="0.35">
      <c r="M2102" s="11"/>
    </row>
    <row r="2103" spans="13:13" x14ac:dyDescent="0.35">
      <c r="M2103" s="11"/>
    </row>
    <row r="2104" spans="13:13" x14ac:dyDescent="0.35">
      <c r="M2104" s="11"/>
    </row>
    <row r="2105" spans="13:13" x14ac:dyDescent="0.35">
      <c r="M2105" s="11"/>
    </row>
    <row r="2106" spans="13:13" x14ac:dyDescent="0.35">
      <c r="M2106" s="11"/>
    </row>
    <row r="2107" spans="13:13" x14ac:dyDescent="0.35">
      <c r="M2107" s="11"/>
    </row>
    <row r="2108" spans="13:13" x14ac:dyDescent="0.35">
      <c r="M2108" s="11"/>
    </row>
    <row r="2109" spans="13:13" x14ac:dyDescent="0.35">
      <c r="M2109" s="11"/>
    </row>
    <row r="2110" spans="13:13" x14ac:dyDescent="0.35">
      <c r="M2110" s="11"/>
    </row>
    <row r="2111" spans="13:13" x14ac:dyDescent="0.35">
      <c r="M2111" s="11"/>
    </row>
    <row r="2112" spans="13:13" x14ac:dyDescent="0.35">
      <c r="M2112" s="11"/>
    </row>
    <row r="2113" spans="13:13" x14ac:dyDescent="0.35">
      <c r="M2113" s="11"/>
    </row>
    <row r="2114" spans="13:13" x14ac:dyDescent="0.35">
      <c r="M2114" s="11"/>
    </row>
    <row r="2115" spans="13:13" x14ac:dyDescent="0.35">
      <c r="M2115" s="11"/>
    </row>
    <row r="2116" spans="13:13" x14ac:dyDescent="0.35">
      <c r="M2116" s="11"/>
    </row>
    <row r="2117" spans="13:13" x14ac:dyDescent="0.35">
      <c r="M2117" s="11"/>
    </row>
    <row r="2118" spans="13:13" x14ac:dyDescent="0.35">
      <c r="M2118" s="11"/>
    </row>
    <row r="2119" spans="13:13" x14ac:dyDescent="0.35">
      <c r="M2119" s="11"/>
    </row>
    <row r="2120" spans="13:13" x14ac:dyDescent="0.35">
      <c r="M2120" s="11"/>
    </row>
    <row r="2121" spans="13:13" x14ac:dyDescent="0.35">
      <c r="M2121" s="11"/>
    </row>
    <row r="2122" spans="13:13" x14ac:dyDescent="0.35">
      <c r="M2122" s="11"/>
    </row>
    <row r="2123" spans="13:13" x14ac:dyDescent="0.35">
      <c r="M2123" s="11"/>
    </row>
    <row r="2124" spans="13:13" x14ac:dyDescent="0.35">
      <c r="M2124" s="11"/>
    </row>
    <row r="2125" spans="13:13" x14ac:dyDescent="0.35">
      <c r="M2125" s="11"/>
    </row>
    <row r="2126" spans="13:13" x14ac:dyDescent="0.35">
      <c r="M2126" s="11"/>
    </row>
    <row r="2127" spans="13:13" x14ac:dyDescent="0.35">
      <c r="M2127" s="11"/>
    </row>
    <row r="2128" spans="13:13" x14ac:dyDescent="0.35">
      <c r="M2128" s="11"/>
    </row>
    <row r="2129" spans="13:13" x14ac:dyDescent="0.35">
      <c r="M2129" s="11"/>
    </row>
    <row r="2130" spans="13:13" x14ac:dyDescent="0.35">
      <c r="M2130" s="11"/>
    </row>
    <row r="2131" spans="13:13" x14ac:dyDescent="0.35">
      <c r="M2131" s="11"/>
    </row>
    <row r="2132" spans="13:13" x14ac:dyDescent="0.35">
      <c r="M2132" s="11"/>
    </row>
    <row r="2133" spans="13:13" x14ac:dyDescent="0.35">
      <c r="M2133" s="11"/>
    </row>
    <row r="2134" spans="13:13" x14ac:dyDescent="0.35">
      <c r="M2134" s="11"/>
    </row>
    <row r="2135" spans="13:13" x14ac:dyDescent="0.35">
      <c r="M2135" s="11"/>
    </row>
    <row r="2136" spans="13:13" x14ac:dyDescent="0.35">
      <c r="M2136" s="11"/>
    </row>
    <row r="2137" spans="13:13" x14ac:dyDescent="0.35">
      <c r="M2137" s="11"/>
    </row>
    <row r="2138" spans="13:13" x14ac:dyDescent="0.35">
      <c r="M2138" s="11"/>
    </row>
    <row r="2139" spans="13:13" x14ac:dyDescent="0.35">
      <c r="M2139" s="11"/>
    </row>
    <row r="2140" spans="13:13" x14ac:dyDescent="0.35">
      <c r="M2140" s="11"/>
    </row>
    <row r="2141" spans="13:13" x14ac:dyDescent="0.35">
      <c r="M2141" s="11"/>
    </row>
    <row r="2142" spans="13:13" x14ac:dyDescent="0.35">
      <c r="M2142" s="11"/>
    </row>
    <row r="2143" spans="13:13" x14ac:dyDescent="0.35">
      <c r="M2143" s="11"/>
    </row>
    <row r="2144" spans="13:13" x14ac:dyDescent="0.35">
      <c r="M2144" s="11"/>
    </row>
    <row r="2145" spans="13:13" x14ac:dyDescent="0.35">
      <c r="M2145" s="11"/>
    </row>
    <row r="2146" spans="13:13" x14ac:dyDescent="0.35">
      <c r="M2146" s="11"/>
    </row>
    <row r="2147" spans="13:13" x14ac:dyDescent="0.35">
      <c r="M2147" s="11"/>
    </row>
    <row r="2148" spans="13:13" x14ac:dyDescent="0.35">
      <c r="M2148" s="11"/>
    </row>
    <row r="2149" spans="13:13" x14ac:dyDescent="0.35">
      <c r="M2149" s="11"/>
    </row>
    <row r="2150" spans="13:13" x14ac:dyDescent="0.35">
      <c r="M2150" s="11"/>
    </row>
    <row r="2151" spans="13:13" x14ac:dyDescent="0.35">
      <c r="M2151" s="11"/>
    </row>
    <row r="2152" spans="13:13" x14ac:dyDescent="0.35">
      <c r="M2152" s="11"/>
    </row>
    <row r="2153" spans="13:13" x14ac:dyDescent="0.35">
      <c r="M2153" s="11"/>
    </row>
    <row r="2154" spans="13:13" x14ac:dyDescent="0.35">
      <c r="M2154" s="11"/>
    </row>
    <row r="2155" spans="13:13" x14ac:dyDescent="0.35">
      <c r="M2155" s="11"/>
    </row>
    <row r="2156" spans="13:13" x14ac:dyDescent="0.35">
      <c r="M2156" s="11"/>
    </row>
    <row r="2157" spans="13:13" x14ac:dyDescent="0.35">
      <c r="M2157" s="11"/>
    </row>
    <row r="2158" spans="13:13" x14ac:dyDescent="0.35">
      <c r="M2158" s="11"/>
    </row>
    <row r="2159" spans="13:13" x14ac:dyDescent="0.35">
      <c r="M2159" s="11"/>
    </row>
    <row r="2160" spans="13:13" x14ac:dyDescent="0.35">
      <c r="M2160" s="11"/>
    </row>
    <row r="2161" spans="13:13" x14ac:dyDescent="0.35">
      <c r="M2161" s="11"/>
    </row>
    <row r="2162" spans="13:13" x14ac:dyDescent="0.35">
      <c r="M2162" s="11"/>
    </row>
    <row r="2163" spans="13:13" x14ac:dyDescent="0.35">
      <c r="M2163" s="11"/>
    </row>
    <row r="2164" spans="13:13" x14ac:dyDescent="0.35">
      <c r="M2164" s="11"/>
    </row>
    <row r="2165" spans="13:13" x14ac:dyDescent="0.35">
      <c r="M2165" s="11"/>
    </row>
    <row r="2166" spans="13:13" x14ac:dyDescent="0.35">
      <c r="M2166" s="11"/>
    </row>
    <row r="2167" spans="13:13" x14ac:dyDescent="0.35">
      <c r="M2167" s="11"/>
    </row>
    <row r="2168" spans="13:13" x14ac:dyDescent="0.35">
      <c r="M2168" s="11"/>
    </row>
    <row r="2169" spans="13:13" x14ac:dyDescent="0.35">
      <c r="M2169" s="11"/>
    </row>
    <row r="2170" spans="13:13" x14ac:dyDescent="0.35">
      <c r="M2170" s="11"/>
    </row>
    <row r="2171" spans="13:13" x14ac:dyDescent="0.35">
      <c r="M2171" s="11"/>
    </row>
    <row r="2172" spans="13:13" x14ac:dyDescent="0.35">
      <c r="M2172" s="11"/>
    </row>
    <row r="2173" spans="13:13" x14ac:dyDescent="0.35">
      <c r="M2173" s="11"/>
    </row>
    <row r="2174" spans="13:13" x14ac:dyDescent="0.35">
      <c r="M2174" s="11"/>
    </row>
    <row r="2175" spans="13:13" x14ac:dyDescent="0.35">
      <c r="M2175" s="11"/>
    </row>
    <row r="2176" spans="13:13" x14ac:dyDescent="0.35">
      <c r="M2176" s="11"/>
    </row>
    <row r="2177" spans="13:13" x14ac:dyDescent="0.35">
      <c r="M2177" s="11"/>
    </row>
    <row r="2178" spans="13:13" x14ac:dyDescent="0.35">
      <c r="M2178" s="11"/>
    </row>
    <row r="2179" spans="13:13" x14ac:dyDescent="0.35">
      <c r="M2179" s="11"/>
    </row>
    <row r="2180" spans="13:13" x14ac:dyDescent="0.35">
      <c r="M2180" s="11"/>
    </row>
    <row r="2181" spans="13:13" x14ac:dyDescent="0.35">
      <c r="M2181" s="11"/>
    </row>
    <row r="2182" spans="13:13" x14ac:dyDescent="0.35">
      <c r="M2182" s="11"/>
    </row>
    <row r="2183" spans="13:13" x14ac:dyDescent="0.35">
      <c r="M2183" s="11"/>
    </row>
    <row r="2184" spans="13:13" x14ac:dyDescent="0.35">
      <c r="M2184" s="11"/>
    </row>
    <row r="2185" spans="13:13" x14ac:dyDescent="0.35">
      <c r="M2185" s="11"/>
    </row>
    <row r="2186" spans="13:13" x14ac:dyDescent="0.35">
      <c r="M2186" s="11"/>
    </row>
    <row r="2187" spans="13:13" x14ac:dyDescent="0.35">
      <c r="M2187" s="11"/>
    </row>
    <row r="2188" spans="13:13" x14ac:dyDescent="0.35">
      <c r="M2188" s="11"/>
    </row>
    <row r="2189" spans="13:13" x14ac:dyDescent="0.35">
      <c r="M2189" s="11"/>
    </row>
    <row r="2190" spans="13:13" x14ac:dyDescent="0.35">
      <c r="M2190" s="11"/>
    </row>
    <row r="2191" spans="13:13" x14ac:dyDescent="0.35">
      <c r="M2191" s="11"/>
    </row>
    <row r="2192" spans="13:13" x14ac:dyDescent="0.35">
      <c r="M2192" s="11"/>
    </row>
    <row r="2193" spans="13:13" x14ac:dyDescent="0.35">
      <c r="M2193" s="11"/>
    </row>
    <row r="2194" spans="13:13" x14ac:dyDescent="0.35">
      <c r="M2194" s="11"/>
    </row>
    <row r="2195" spans="13:13" x14ac:dyDescent="0.35">
      <c r="M2195" s="11"/>
    </row>
    <row r="2196" spans="13:13" x14ac:dyDescent="0.35">
      <c r="M2196" s="11"/>
    </row>
    <row r="2197" spans="13:13" x14ac:dyDescent="0.35">
      <c r="M2197" s="11"/>
    </row>
    <row r="2198" spans="13:13" x14ac:dyDescent="0.35">
      <c r="M2198" s="11"/>
    </row>
    <row r="2199" spans="13:13" x14ac:dyDescent="0.35">
      <c r="M2199" s="11"/>
    </row>
    <row r="2200" spans="13:13" x14ac:dyDescent="0.35">
      <c r="M2200" s="11"/>
    </row>
    <row r="2201" spans="13:13" x14ac:dyDescent="0.35">
      <c r="M2201" s="11"/>
    </row>
    <row r="2202" spans="13:13" x14ac:dyDescent="0.35">
      <c r="M2202" s="11"/>
    </row>
    <row r="2203" spans="13:13" x14ac:dyDescent="0.35">
      <c r="M2203" s="11"/>
    </row>
    <row r="2204" spans="13:13" x14ac:dyDescent="0.35">
      <c r="M2204" s="11"/>
    </row>
    <row r="2205" spans="13:13" x14ac:dyDescent="0.35">
      <c r="M2205" s="11"/>
    </row>
    <row r="2206" spans="13:13" x14ac:dyDescent="0.35">
      <c r="M2206" s="11"/>
    </row>
    <row r="2207" spans="13:13" x14ac:dyDescent="0.35">
      <c r="M2207" s="11"/>
    </row>
    <row r="2208" spans="13:13" x14ac:dyDescent="0.35">
      <c r="M2208" s="11"/>
    </row>
    <row r="2209" spans="13:13" x14ac:dyDescent="0.35">
      <c r="M2209" s="11"/>
    </row>
    <row r="2210" spans="13:13" x14ac:dyDescent="0.35">
      <c r="M2210" s="11"/>
    </row>
    <row r="2211" spans="13:13" x14ac:dyDescent="0.35">
      <c r="M2211" s="11"/>
    </row>
    <row r="2212" spans="13:13" x14ac:dyDescent="0.35">
      <c r="M2212" s="11"/>
    </row>
    <row r="2213" spans="13:13" x14ac:dyDescent="0.35">
      <c r="M2213" s="11"/>
    </row>
    <row r="2214" spans="13:13" x14ac:dyDescent="0.35">
      <c r="M2214" s="11"/>
    </row>
    <row r="2215" spans="13:13" x14ac:dyDescent="0.35">
      <c r="M2215" s="11"/>
    </row>
    <row r="2216" spans="13:13" x14ac:dyDescent="0.35">
      <c r="M2216" s="11"/>
    </row>
    <row r="2217" spans="13:13" x14ac:dyDescent="0.35">
      <c r="M2217" s="11"/>
    </row>
    <row r="2218" spans="13:13" x14ac:dyDescent="0.35">
      <c r="M2218" s="11"/>
    </row>
    <row r="2219" spans="13:13" x14ac:dyDescent="0.35">
      <c r="M2219" s="11"/>
    </row>
    <row r="2220" spans="13:13" x14ac:dyDescent="0.35">
      <c r="M2220" s="11"/>
    </row>
    <row r="2221" spans="13:13" x14ac:dyDescent="0.35">
      <c r="M2221" s="11"/>
    </row>
    <row r="2222" spans="13:13" x14ac:dyDescent="0.35">
      <c r="M2222" s="11"/>
    </row>
    <row r="2223" spans="13:13" x14ac:dyDescent="0.35">
      <c r="M2223" s="11"/>
    </row>
    <row r="2224" spans="13:13" x14ac:dyDescent="0.35">
      <c r="M2224" s="11"/>
    </row>
    <row r="2225" spans="13:13" x14ac:dyDescent="0.35">
      <c r="M2225" s="11"/>
    </row>
    <row r="2226" spans="13:13" x14ac:dyDescent="0.35">
      <c r="M2226" s="11"/>
    </row>
    <row r="2227" spans="13:13" x14ac:dyDescent="0.35">
      <c r="M2227" s="11"/>
    </row>
    <row r="2228" spans="13:13" x14ac:dyDescent="0.35">
      <c r="M2228" s="11"/>
    </row>
    <row r="2229" spans="13:13" x14ac:dyDescent="0.35">
      <c r="M2229" s="11"/>
    </row>
    <row r="2230" spans="13:13" x14ac:dyDescent="0.35">
      <c r="M2230" s="11"/>
    </row>
    <row r="2231" spans="13:13" x14ac:dyDescent="0.35">
      <c r="M2231" s="11"/>
    </row>
    <row r="2232" spans="13:13" x14ac:dyDescent="0.35">
      <c r="M2232" s="11"/>
    </row>
    <row r="2233" spans="13:13" x14ac:dyDescent="0.35">
      <c r="M2233" s="11"/>
    </row>
    <row r="2234" spans="13:13" x14ac:dyDescent="0.35">
      <c r="M2234" s="11"/>
    </row>
    <row r="2235" spans="13:13" x14ac:dyDescent="0.35">
      <c r="M2235" s="11"/>
    </row>
    <row r="2236" spans="13:13" x14ac:dyDescent="0.35">
      <c r="M2236" s="11"/>
    </row>
    <row r="2237" spans="13:13" x14ac:dyDescent="0.35">
      <c r="M2237" s="11"/>
    </row>
    <row r="2238" spans="13:13" x14ac:dyDescent="0.35">
      <c r="M2238" s="11"/>
    </row>
    <row r="2239" spans="13:13" x14ac:dyDescent="0.35">
      <c r="M2239" s="11"/>
    </row>
    <row r="2240" spans="13:13" x14ac:dyDescent="0.35">
      <c r="M2240" s="11"/>
    </row>
    <row r="2241" spans="13:13" x14ac:dyDescent="0.35">
      <c r="M2241" s="11"/>
    </row>
    <row r="2242" spans="13:13" x14ac:dyDescent="0.35">
      <c r="M2242" s="11"/>
    </row>
    <row r="2243" spans="13:13" x14ac:dyDescent="0.35">
      <c r="M2243" s="11"/>
    </row>
    <row r="2244" spans="13:13" x14ac:dyDescent="0.35">
      <c r="M2244" s="11"/>
    </row>
    <row r="2245" spans="13:13" x14ac:dyDescent="0.35">
      <c r="M2245" s="11"/>
    </row>
    <row r="2246" spans="13:13" x14ac:dyDescent="0.35">
      <c r="M2246" s="11"/>
    </row>
    <row r="2247" spans="13:13" x14ac:dyDescent="0.35">
      <c r="M2247" s="11"/>
    </row>
    <row r="2248" spans="13:13" x14ac:dyDescent="0.35">
      <c r="M2248" s="11"/>
    </row>
    <row r="2249" spans="13:13" x14ac:dyDescent="0.35">
      <c r="M2249" s="11"/>
    </row>
    <row r="2250" spans="13:13" x14ac:dyDescent="0.35">
      <c r="M2250" s="11"/>
    </row>
    <row r="2251" spans="13:13" x14ac:dyDescent="0.35">
      <c r="M2251" s="11"/>
    </row>
    <row r="2252" spans="13:13" x14ac:dyDescent="0.35">
      <c r="M2252" s="11"/>
    </row>
    <row r="2253" spans="13:13" x14ac:dyDescent="0.35">
      <c r="M2253" s="11"/>
    </row>
    <row r="2254" spans="13:13" x14ac:dyDescent="0.35">
      <c r="M2254" s="11"/>
    </row>
    <row r="2255" spans="13:13" x14ac:dyDescent="0.35">
      <c r="M2255" s="11"/>
    </row>
    <row r="2256" spans="13:13" x14ac:dyDescent="0.35">
      <c r="M2256" s="11"/>
    </row>
    <row r="2257" spans="13:13" x14ac:dyDescent="0.35">
      <c r="M2257" s="11"/>
    </row>
    <row r="2258" spans="13:13" x14ac:dyDescent="0.35">
      <c r="M2258" s="11"/>
    </row>
    <row r="2259" spans="13:13" x14ac:dyDescent="0.35">
      <c r="M2259" s="11"/>
    </row>
    <row r="2260" spans="13:13" x14ac:dyDescent="0.35">
      <c r="M2260" s="11"/>
    </row>
    <row r="2261" spans="13:13" x14ac:dyDescent="0.35">
      <c r="M2261" s="11"/>
    </row>
    <row r="2262" spans="13:13" x14ac:dyDescent="0.35">
      <c r="M2262" s="11"/>
    </row>
    <row r="2263" spans="13:13" x14ac:dyDescent="0.35">
      <c r="M2263" s="11"/>
    </row>
    <row r="2264" spans="13:13" x14ac:dyDescent="0.35">
      <c r="M2264" s="11"/>
    </row>
    <row r="2265" spans="13:13" x14ac:dyDescent="0.35">
      <c r="M2265" s="11"/>
    </row>
    <row r="2266" spans="13:13" x14ac:dyDescent="0.35">
      <c r="M2266" s="11"/>
    </row>
    <row r="2267" spans="13:13" x14ac:dyDescent="0.35">
      <c r="M2267" s="11"/>
    </row>
    <row r="2268" spans="13:13" x14ac:dyDescent="0.35">
      <c r="M2268" s="11"/>
    </row>
    <row r="2269" spans="13:13" x14ac:dyDescent="0.35">
      <c r="M2269" s="11"/>
    </row>
    <row r="2270" spans="13:13" x14ac:dyDescent="0.35">
      <c r="M2270" s="11"/>
    </row>
    <row r="2271" spans="13:13" x14ac:dyDescent="0.35">
      <c r="M2271" s="11"/>
    </row>
    <row r="2272" spans="13:13" x14ac:dyDescent="0.35">
      <c r="M2272" s="11"/>
    </row>
    <row r="2273" spans="13:13" x14ac:dyDescent="0.35">
      <c r="M2273" s="11"/>
    </row>
    <row r="2274" spans="13:13" x14ac:dyDescent="0.35">
      <c r="M2274" s="11"/>
    </row>
    <row r="2275" spans="13:13" x14ac:dyDescent="0.35">
      <c r="M2275" s="11"/>
    </row>
    <row r="2276" spans="13:13" x14ac:dyDescent="0.35">
      <c r="M2276" s="11"/>
    </row>
    <row r="2277" spans="13:13" x14ac:dyDescent="0.35">
      <c r="M2277" s="11"/>
    </row>
    <row r="2278" spans="13:13" x14ac:dyDescent="0.35">
      <c r="M2278" s="11"/>
    </row>
    <row r="2279" spans="13:13" x14ac:dyDescent="0.35">
      <c r="M2279" s="11"/>
    </row>
    <row r="2280" spans="13:13" x14ac:dyDescent="0.35">
      <c r="M2280" s="11"/>
    </row>
    <row r="2281" spans="13:13" x14ac:dyDescent="0.35">
      <c r="M2281" s="11"/>
    </row>
    <row r="2282" spans="13:13" x14ac:dyDescent="0.35">
      <c r="M2282" s="11"/>
    </row>
    <row r="2283" spans="13:13" x14ac:dyDescent="0.35">
      <c r="M2283" s="11"/>
    </row>
    <row r="2284" spans="13:13" x14ac:dyDescent="0.35">
      <c r="M2284" s="11"/>
    </row>
    <row r="2285" spans="13:13" x14ac:dyDescent="0.35">
      <c r="M2285" s="11"/>
    </row>
    <row r="2286" spans="13:13" x14ac:dyDescent="0.35">
      <c r="M2286" s="11"/>
    </row>
    <row r="2287" spans="13:13" x14ac:dyDescent="0.35">
      <c r="M2287" s="11"/>
    </row>
    <row r="2288" spans="13:13" x14ac:dyDescent="0.35">
      <c r="M2288" s="11"/>
    </row>
    <row r="2289" spans="13:13" x14ac:dyDescent="0.35">
      <c r="M2289" s="11"/>
    </row>
    <row r="2290" spans="13:13" x14ac:dyDescent="0.35">
      <c r="M2290" s="11"/>
    </row>
    <row r="2291" spans="13:13" x14ac:dyDescent="0.35">
      <c r="M2291" s="11"/>
    </row>
    <row r="2292" spans="13:13" x14ac:dyDescent="0.35">
      <c r="M2292" s="11"/>
    </row>
    <row r="2293" spans="13:13" x14ac:dyDescent="0.35">
      <c r="M2293" s="11"/>
    </row>
    <row r="2294" spans="13:13" x14ac:dyDescent="0.35">
      <c r="M2294" s="11"/>
    </row>
    <row r="2295" spans="13:13" x14ac:dyDescent="0.35">
      <c r="M2295" s="11"/>
    </row>
    <row r="2296" spans="13:13" x14ac:dyDescent="0.35">
      <c r="M2296" s="11"/>
    </row>
    <row r="2297" spans="13:13" x14ac:dyDescent="0.35">
      <c r="M2297" s="11"/>
    </row>
    <row r="2298" spans="13:13" x14ac:dyDescent="0.35">
      <c r="M2298" s="11"/>
    </row>
    <row r="2299" spans="13:13" x14ac:dyDescent="0.35">
      <c r="M2299" s="11"/>
    </row>
    <row r="2300" spans="13:13" x14ac:dyDescent="0.35">
      <c r="M2300" s="11"/>
    </row>
    <row r="2301" spans="13:13" x14ac:dyDescent="0.35">
      <c r="M2301" s="11"/>
    </row>
    <row r="2302" spans="13:13" x14ac:dyDescent="0.35">
      <c r="M2302" s="11"/>
    </row>
    <row r="2303" spans="13:13" x14ac:dyDescent="0.35">
      <c r="M2303" s="11"/>
    </row>
    <row r="2304" spans="13:13" x14ac:dyDescent="0.35">
      <c r="M2304" s="11"/>
    </row>
    <row r="2305" spans="13:13" x14ac:dyDescent="0.35">
      <c r="M2305" s="11"/>
    </row>
    <row r="2306" spans="13:13" x14ac:dyDescent="0.35">
      <c r="M2306" s="11"/>
    </row>
    <row r="2307" spans="13:13" x14ac:dyDescent="0.35">
      <c r="M2307" s="11"/>
    </row>
    <row r="2308" spans="13:13" x14ac:dyDescent="0.35">
      <c r="M2308" s="11"/>
    </row>
    <row r="2309" spans="13:13" x14ac:dyDescent="0.35">
      <c r="M2309" s="11"/>
    </row>
    <row r="2310" spans="13:13" x14ac:dyDescent="0.35">
      <c r="M2310" s="11"/>
    </row>
    <row r="2311" spans="13:13" x14ac:dyDescent="0.35">
      <c r="M2311" s="11"/>
    </row>
    <row r="2312" spans="13:13" x14ac:dyDescent="0.35">
      <c r="M2312" s="11"/>
    </row>
    <row r="2313" spans="13:13" x14ac:dyDescent="0.35">
      <c r="M2313" s="11"/>
    </row>
    <row r="2314" spans="13:13" x14ac:dyDescent="0.35">
      <c r="M2314" s="11"/>
    </row>
    <row r="2315" spans="13:13" x14ac:dyDescent="0.35">
      <c r="M2315" s="11"/>
    </row>
    <row r="2316" spans="13:13" x14ac:dyDescent="0.35">
      <c r="M2316" s="11"/>
    </row>
    <row r="2317" spans="13:13" x14ac:dyDescent="0.35">
      <c r="M2317" s="11"/>
    </row>
    <row r="2318" spans="13:13" x14ac:dyDescent="0.35">
      <c r="M2318" s="11"/>
    </row>
    <row r="2319" spans="13:13" x14ac:dyDescent="0.35">
      <c r="M2319" s="11"/>
    </row>
    <row r="2320" spans="13:13" x14ac:dyDescent="0.35">
      <c r="M2320" s="11"/>
    </row>
    <row r="2321" spans="13:13" x14ac:dyDescent="0.35">
      <c r="M2321" s="11"/>
    </row>
    <row r="2322" spans="13:13" x14ac:dyDescent="0.35">
      <c r="M2322" s="11"/>
    </row>
    <row r="2323" spans="13:13" x14ac:dyDescent="0.35">
      <c r="M2323" s="11"/>
    </row>
    <row r="2324" spans="13:13" x14ac:dyDescent="0.35">
      <c r="M2324" s="11"/>
    </row>
    <row r="2325" spans="13:13" x14ac:dyDescent="0.35">
      <c r="M2325" s="11"/>
    </row>
    <row r="2326" spans="13:13" x14ac:dyDescent="0.35">
      <c r="M2326" s="11"/>
    </row>
    <row r="2327" spans="13:13" x14ac:dyDescent="0.35">
      <c r="M2327" s="11"/>
    </row>
    <row r="2328" spans="13:13" x14ac:dyDescent="0.35">
      <c r="M2328" s="11"/>
    </row>
    <row r="2329" spans="13:13" x14ac:dyDescent="0.35">
      <c r="M2329" s="11"/>
    </row>
    <row r="2330" spans="13:13" x14ac:dyDescent="0.35">
      <c r="M2330" s="11"/>
    </row>
    <row r="2331" spans="13:13" x14ac:dyDescent="0.35">
      <c r="M2331" s="11"/>
    </row>
    <row r="2332" spans="13:13" x14ac:dyDescent="0.35">
      <c r="M2332" s="11"/>
    </row>
    <row r="2333" spans="13:13" x14ac:dyDescent="0.35">
      <c r="M2333" s="11"/>
    </row>
    <row r="2334" spans="13:13" x14ac:dyDescent="0.35">
      <c r="M2334" s="11"/>
    </row>
    <row r="2335" spans="13:13" x14ac:dyDescent="0.35">
      <c r="M2335" s="11"/>
    </row>
    <row r="2336" spans="13:13" x14ac:dyDescent="0.35">
      <c r="M2336" s="11"/>
    </row>
    <row r="2337" spans="13:13" x14ac:dyDescent="0.35">
      <c r="M2337" s="11"/>
    </row>
    <row r="2338" spans="13:13" x14ac:dyDescent="0.35">
      <c r="M2338" s="11"/>
    </row>
    <row r="2339" spans="13:13" x14ac:dyDescent="0.35">
      <c r="M2339" s="11"/>
    </row>
    <row r="2340" spans="13:13" x14ac:dyDescent="0.35">
      <c r="M2340" s="11"/>
    </row>
    <row r="2341" spans="13:13" x14ac:dyDescent="0.35">
      <c r="M2341" s="11"/>
    </row>
    <row r="2342" spans="13:13" x14ac:dyDescent="0.35">
      <c r="M2342" s="11"/>
    </row>
    <row r="2343" spans="13:13" x14ac:dyDescent="0.35">
      <c r="M2343" s="11"/>
    </row>
    <row r="2344" spans="13:13" x14ac:dyDescent="0.35">
      <c r="M2344" s="11"/>
    </row>
    <row r="2345" spans="13:13" x14ac:dyDescent="0.35">
      <c r="M2345" s="11"/>
    </row>
    <row r="2346" spans="13:13" x14ac:dyDescent="0.35">
      <c r="M2346" s="11"/>
    </row>
    <row r="2347" spans="13:13" x14ac:dyDescent="0.35">
      <c r="M2347" s="11"/>
    </row>
    <row r="2348" spans="13:13" x14ac:dyDescent="0.35">
      <c r="M2348" s="11"/>
    </row>
    <row r="2349" spans="13:13" x14ac:dyDescent="0.35">
      <c r="M2349" s="11"/>
    </row>
    <row r="2350" spans="13:13" x14ac:dyDescent="0.35">
      <c r="M2350" s="11"/>
    </row>
    <row r="2351" spans="13:13" x14ac:dyDescent="0.35">
      <c r="M2351" s="11"/>
    </row>
    <row r="2352" spans="13:13" x14ac:dyDescent="0.35">
      <c r="M2352" s="11"/>
    </row>
    <row r="2353" spans="13:13" x14ac:dyDescent="0.35">
      <c r="M2353" s="11"/>
    </row>
    <row r="2354" spans="13:13" x14ac:dyDescent="0.35">
      <c r="M2354" s="11"/>
    </row>
    <row r="2355" spans="13:13" x14ac:dyDescent="0.35">
      <c r="M2355" s="11"/>
    </row>
    <row r="2356" spans="13:13" x14ac:dyDescent="0.35">
      <c r="M2356" s="11"/>
    </row>
    <row r="2357" spans="13:13" x14ac:dyDescent="0.35">
      <c r="M2357" s="11"/>
    </row>
    <row r="2358" spans="13:13" x14ac:dyDescent="0.35">
      <c r="M2358" s="11"/>
    </row>
    <row r="2359" spans="13:13" x14ac:dyDescent="0.35">
      <c r="M2359" s="11"/>
    </row>
    <row r="2360" spans="13:13" x14ac:dyDescent="0.35">
      <c r="M2360" s="11"/>
    </row>
    <row r="2361" spans="13:13" x14ac:dyDescent="0.35">
      <c r="M2361" s="11"/>
    </row>
    <row r="2362" spans="13:13" x14ac:dyDescent="0.35">
      <c r="M2362" s="11"/>
    </row>
    <row r="2363" spans="13:13" x14ac:dyDescent="0.35">
      <c r="M2363" s="11"/>
    </row>
    <row r="2364" spans="13:13" x14ac:dyDescent="0.35">
      <c r="M2364" s="11"/>
    </row>
    <row r="2365" spans="13:13" x14ac:dyDescent="0.35">
      <c r="M2365" s="11"/>
    </row>
    <row r="2366" spans="13:13" x14ac:dyDescent="0.35">
      <c r="M2366" s="11"/>
    </row>
    <row r="2367" spans="13:13" x14ac:dyDescent="0.35">
      <c r="M2367" s="11"/>
    </row>
    <row r="2368" spans="13:13" x14ac:dyDescent="0.35">
      <c r="M2368" s="11"/>
    </row>
    <row r="2369" spans="13:13" x14ac:dyDescent="0.35">
      <c r="M2369" s="11"/>
    </row>
    <row r="2370" spans="13:13" x14ac:dyDescent="0.35">
      <c r="M2370" s="11"/>
    </row>
    <row r="2371" spans="13:13" x14ac:dyDescent="0.35">
      <c r="M2371" s="11"/>
    </row>
    <row r="2372" spans="13:13" x14ac:dyDescent="0.35">
      <c r="M2372" s="11"/>
    </row>
    <row r="2373" spans="13:13" x14ac:dyDescent="0.35">
      <c r="M2373" s="11"/>
    </row>
    <row r="2374" spans="13:13" x14ac:dyDescent="0.35">
      <c r="M2374" s="11"/>
    </row>
    <row r="2375" spans="13:13" x14ac:dyDescent="0.35">
      <c r="M2375" s="11"/>
    </row>
    <row r="2376" spans="13:13" x14ac:dyDescent="0.35">
      <c r="M2376" s="11"/>
    </row>
    <row r="2377" spans="13:13" x14ac:dyDescent="0.35">
      <c r="M2377" s="11"/>
    </row>
    <row r="2378" spans="13:13" x14ac:dyDescent="0.35">
      <c r="M2378" s="11"/>
    </row>
    <row r="2379" spans="13:13" x14ac:dyDescent="0.35">
      <c r="M2379" s="11"/>
    </row>
    <row r="2380" spans="13:13" x14ac:dyDescent="0.35">
      <c r="M2380" s="11"/>
    </row>
    <row r="2381" spans="13:13" x14ac:dyDescent="0.35">
      <c r="M2381" s="11"/>
    </row>
    <row r="2382" spans="13:13" x14ac:dyDescent="0.35">
      <c r="M2382" s="11"/>
    </row>
    <row r="2383" spans="13:13" x14ac:dyDescent="0.35">
      <c r="M2383" s="11"/>
    </row>
    <row r="2384" spans="13:13" x14ac:dyDescent="0.35">
      <c r="M2384" s="11"/>
    </row>
    <row r="2385" spans="13:13" x14ac:dyDescent="0.35">
      <c r="M2385" s="11"/>
    </row>
    <row r="2386" spans="13:13" x14ac:dyDescent="0.35">
      <c r="M2386" s="11"/>
    </row>
    <row r="2387" spans="13:13" x14ac:dyDescent="0.35">
      <c r="M2387" s="11"/>
    </row>
    <row r="2388" spans="13:13" x14ac:dyDescent="0.35">
      <c r="M2388" s="11"/>
    </row>
    <row r="2389" spans="13:13" x14ac:dyDescent="0.35">
      <c r="M2389" s="11"/>
    </row>
    <row r="2390" spans="13:13" x14ac:dyDescent="0.35">
      <c r="M2390" s="11"/>
    </row>
    <row r="2391" spans="13:13" x14ac:dyDescent="0.35">
      <c r="M2391" s="11"/>
    </row>
    <row r="2392" spans="13:13" x14ac:dyDescent="0.35">
      <c r="M2392" s="11"/>
    </row>
    <row r="2393" spans="13:13" x14ac:dyDescent="0.35">
      <c r="M2393" s="11"/>
    </row>
    <row r="2394" spans="13:13" x14ac:dyDescent="0.35">
      <c r="M2394" s="11"/>
    </row>
    <row r="2395" spans="13:13" x14ac:dyDescent="0.35">
      <c r="M2395" s="11"/>
    </row>
    <row r="2396" spans="13:13" x14ac:dyDescent="0.35">
      <c r="M2396" s="11"/>
    </row>
    <row r="2397" spans="13:13" x14ac:dyDescent="0.35">
      <c r="M2397" s="11"/>
    </row>
    <row r="2398" spans="13:13" x14ac:dyDescent="0.35">
      <c r="M2398" s="11"/>
    </row>
    <row r="2399" spans="13:13" x14ac:dyDescent="0.35">
      <c r="M2399" s="11"/>
    </row>
    <row r="2400" spans="13:13" x14ac:dyDescent="0.35">
      <c r="M2400" s="11"/>
    </row>
    <row r="2401" spans="13:13" x14ac:dyDescent="0.35">
      <c r="M2401" s="11"/>
    </row>
    <row r="2402" spans="13:13" x14ac:dyDescent="0.35">
      <c r="M2402" s="11"/>
    </row>
    <row r="2403" spans="13:13" x14ac:dyDescent="0.35">
      <c r="M2403" s="11"/>
    </row>
    <row r="2404" spans="13:13" x14ac:dyDescent="0.35">
      <c r="M2404" s="11"/>
    </row>
    <row r="2405" spans="13:13" x14ac:dyDescent="0.35">
      <c r="M2405" s="11"/>
    </row>
    <row r="2406" spans="13:13" x14ac:dyDescent="0.35">
      <c r="M2406" s="11"/>
    </row>
    <row r="2407" spans="13:13" x14ac:dyDescent="0.35">
      <c r="M2407" s="11"/>
    </row>
    <row r="2408" spans="13:13" x14ac:dyDescent="0.35">
      <c r="M2408" s="11"/>
    </row>
    <row r="2409" spans="13:13" x14ac:dyDescent="0.35">
      <c r="M2409" s="11"/>
    </row>
    <row r="2410" spans="13:13" x14ac:dyDescent="0.35">
      <c r="M2410" s="11"/>
    </row>
    <row r="2411" spans="13:13" x14ac:dyDescent="0.35">
      <c r="M2411" s="11"/>
    </row>
    <row r="2412" spans="13:13" x14ac:dyDescent="0.35">
      <c r="M2412" s="11"/>
    </row>
    <row r="2413" spans="13:13" x14ac:dyDescent="0.35">
      <c r="M2413" s="11"/>
    </row>
    <row r="2414" spans="13:13" x14ac:dyDescent="0.35">
      <c r="M2414" s="11"/>
    </row>
    <row r="2415" spans="13:13" x14ac:dyDescent="0.35">
      <c r="M2415" s="11"/>
    </row>
    <row r="2416" spans="13:13" x14ac:dyDescent="0.35">
      <c r="M2416" s="11"/>
    </row>
    <row r="2417" spans="13:13" x14ac:dyDescent="0.35">
      <c r="M2417" s="11"/>
    </row>
    <row r="2418" spans="13:13" x14ac:dyDescent="0.35">
      <c r="M2418" s="11"/>
    </row>
    <row r="2419" spans="13:13" x14ac:dyDescent="0.35">
      <c r="M2419" s="11"/>
    </row>
    <row r="2420" spans="13:13" x14ac:dyDescent="0.35">
      <c r="M2420" s="11"/>
    </row>
    <row r="2421" spans="13:13" x14ac:dyDescent="0.35">
      <c r="M2421" s="11"/>
    </row>
    <row r="2422" spans="13:13" x14ac:dyDescent="0.35">
      <c r="M2422" s="11"/>
    </row>
    <row r="2423" spans="13:13" x14ac:dyDescent="0.35">
      <c r="M2423" s="11"/>
    </row>
    <row r="2424" spans="13:13" x14ac:dyDescent="0.35">
      <c r="M2424" s="11"/>
    </row>
    <row r="2425" spans="13:13" x14ac:dyDescent="0.35">
      <c r="M2425" s="11"/>
    </row>
    <row r="2426" spans="13:13" x14ac:dyDescent="0.35">
      <c r="M2426" s="11"/>
    </row>
    <row r="2427" spans="13:13" x14ac:dyDescent="0.35">
      <c r="M2427" s="11"/>
    </row>
    <row r="2428" spans="13:13" x14ac:dyDescent="0.35">
      <c r="M2428" s="11"/>
    </row>
    <row r="2429" spans="13:13" x14ac:dyDescent="0.35">
      <c r="M2429" s="11"/>
    </row>
    <row r="2430" spans="13:13" x14ac:dyDescent="0.35">
      <c r="M2430" s="11"/>
    </row>
    <row r="2431" spans="13:13" x14ac:dyDescent="0.35">
      <c r="M2431" s="11"/>
    </row>
    <row r="2432" spans="13:13" x14ac:dyDescent="0.35">
      <c r="M2432" s="11"/>
    </row>
    <row r="2433" spans="13:13" x14ac:dyDescent="0.35">
      <c r="M2433" s="11"/>
    </row>
    <row r="2434" spans="13:13" x14ac:dyDescent="0.35">
      <c r="M2434" s="11"/>
    </row>
    <row r="2435" spans="13:13" x14ac:dyDescent="0.35">
      <c r="M2435" s="11"/>
    </row>
    <row r="2436" spans="13:13" x14ac:dyDescent="0.35">
      <c r="M2436" s="11"/>
    </row>
    <row r="2437" spans="13:13" x14ac:dyDescent="0.35">
      <c r="M2437" s="11"/>
    </row>
    <row r="2438" spans="13:13" x14ac:dyDescent="0.35">
      <c r="M2438" s="11"/>
    </row>
    <row r="2439" spans="13:13" x14ac:dyDescent="0.35">
      <c r="M2439" s="11"/>
    </row>
    <row r="2440" spans="13:13" x14ac:dyDescent="0.35">
      <c r="M2440" s="11"/>
    </row>
    <row r="2441" spans="13:13" x14ac:dyDescent="0.35">
      <c r="M2441" s="11"/>
    </row>
    <row r="2442" spans="13:13" x14ac:dyDescent="0.35">
      <c r="M2442" s="11"/>
    </row>
    <row r="2443" spans="13:13" x14ac:dyDescent="0.35">
      <c r="M2443" s="11"/>
    </row>
    <row r="2444" spans="13:13" x14ac:dyDescent="0.35">
      <c r="M2444" s="11"/>
    </row>
    <row r="2445" spans="13:13" x14ac:dyDescent="0.35">
      <c r="M2445" s="11"/>
    </row>
    <row r="2446" spans="13:13" x14ac:dyDescent="0.35">
      <c r="M2446" s="11"/>
    </row>
    <row r="2447" spans="13:13" x14ac:dyDescent="0.35">
      <c r="M2447" s="11"/>
    </row>
    <row r="2448" spans="13:13" x14ac:dyDescent="0.35">
      <c r="M2448" s="11"/>
    </row>
    <row r="2449" spans="13:13" x14ac:dyDescent="0.35">
      <c r="M2449" s="11"/>
    </row>
    <row r="2450" spans="13:13" x14ac:dyDescent="0.35">
      <c r="M2450" s="11"/>
    </row>
    <row r="2451" spans="13:13" x14ac:dyDescent="0.35">
      <c r="M2451" s="11"/>
    </row>
    <row r="2452" spans="13:13" x14ac:dyDescent="0.35">
      <c r="M2452" s="11"/>
    </row>
    <row r="2453" spans="13:13" x14ac:dyDescent="0.35">
      <c r="M2453" s="11"/>
    </row>
    <row r="2454" spans="13:13" x14ac:dyDescent="0.35">
      <c r="M2454" s="11"/>
    </row>
    <row r="2455" spans="13:13" x14ac:dyDescent="0.35">
      <c r="M2455" s="11"/>
    </row>
    <row r="2456" spans="13:13" x14ac:dyDescent="0.35">
      <c r="M2456" s="11"/>
    </row>
    <row r="2457" spans="13:13" x14ac:dyDescent="0.35">
      <c r="M2457" s="11"/>
    </row>
    <row r="2458" spans="13:13" x14ac:dyDescent="0.35">
      <c r="M2458" s="11"/>
    </row>
    <row r="2459" spans="13:13" x14ac:dyDescent="0.35">
      <c r="M2459" s="11"/>
    </row>
    <row r="2460" spans="13:13" x14ac:dyDescent="0.35">
      <c r="M2460" s="11"/>
    </row>
    <row r="2461" spans="13:13" x14ac:dyDescent="0.35">
      <c r="M2461" s="11"/>
    </row>
    <row r="2462" spans="13:13" x14ac:dyDescent="0.35">
      <c r="M2462" s="11"/>
    </row>
    <row r="2463" spans="13:13" x14ac:dyDescent="0.35">
      <c r="M2463" s="11"/>
    </row>
    <row r="2464" spans="13:13" x14ac:dyDescent="0.35">
      <c r="M2464" s="11"/>
    </row>
    <row r="2465" spans="13:13" x14ac:dyDescent="0.35">
      <c r="M2465" s="11"/>
    </row>
    <row r="2466" spans="13:13" x14ac:dyDescent="0.35">
      <c r="M2466" s="11"/>
    </row>
    <row r="2467" spans="13:13" x14ac:dyDescent="0.35">
      <c r="M2467" s="11"/>
    </row>
    <row r="2468" spans="13:13" x14ac:dyDescent="0.35">
      <c r="M2468" s="11"/>
    </row>
    <row r="2469" spans="13:13" x14ac:dyDescent="0.35">
      <c r="M2469" s="11"/>
    </row>
    <row r="2470" spans="13:13" x14ac:dyDescent="0.35">
      <c r="M2470" s="11"/>
    </row>
    <row r="2471" spans="13:13" x14ac:dyDescent="0.35">
      <c r="M2471" s="11"/>
    </row>
    <row r="2472" spans="13:13" x14ac:dyDescent="0.35">
      <c r="M2472" s="11"/>
    </row>
    <row r="2473" spans="13:13" x14ac:dyDescent="0.35">
      <c r="M2473" s="11"/>
    </row>
    <row r="2474" spans="13:13" x14ac:dyDescent="0.35">
      <c r="M2474" s="11"/>
    </row>
    <row r="2475" spans="13:13" x14ac:dyDescent="0.35">
      <c r="M2475" s="11"/>
    </row>
    <row r="2476" spans="13:13" x14ac:dyDescent="0.35">
      <c r="M2476" s="11"/>
    </row>
    <row r="2477" spans="13:13" x14ac:dyDescent="0.35">
      <c r="M2477" s="11"/>
    </row>
    <row r="2478" spans="13:13" x14ac:dyDescent="0.35">
      <c r="M2478" s="11"/>
    </row>
    <row r="2479" spans="13:13" x14ac:dyDescent="0.35">
      <c r="M2479" s="11"/>
    </row>
    <row r="2480" spans="13:13" x14ac:dyDescent="0.35">
      <c r="M2480" s="11"/>
    </row>
    <row r="2481" spans="13:13" x14ac:dyDescent="0.35">
      <c r="M2481" s="11"/>
    </row>
    <row r="2482" spans="13:13" x14ac:dyDescent="0.35">
      <c r="M2482" s="11"/>
    </row>
    <row r="2483" spans="13:13" x14ac:dyDescent="0.35">
      <c r="M2483" s="11"/>
    </row>
    <row r="2484" spans="13:13" x14ac:dyDescent="0.35">
      <c r="M2484" s="11"/>
    </row>
    <row r="2485" spans="13:13" x14ac:dyDescent="0.35">
      <c r="M2485" s="11"/>
    </row>
    <row r="2486" spans="13:13" x14ac:dyDescent="0.35">
      <c r="M2486" s="11"/>
    </row>
    <row r="2487" spans="13:13" x14ac:dyDescent="0.35">
      <c r="M2487" s="11"/>
    </row>
    <row r="2488" spans="13:13" x14ac:dyDescent="0.35">
      <c r="M2488" s="11"/>
    </row>
    <row r="2489" spans="13:13" x14ac:dyDescent="0.35">
      <c r="M2489" s="11"/>
    </row>
    <row r="2490" spans="13:13" x14ac:dyDescent="0.35">
      <c r="M2490" s="11"/>
    </row>
    <row r="2491" spans="13:13" x14ac:dyDescent="0.35">
      <c r="M2491" s="11"/>
    </row>
    <row r="2492" spans="13:13" x14ac:dyDescent="0.35">
      <c r="M2492" s="11"/>
    </row>
    <row r="2493" spans="13:13" x14ac:dyDescent="0.35">
      <c r="M2493" s="11"/>
    </row>
    <row r="2494" spans="13:13" x14ac:dyDescent="0.35">
      <c r="M2494" s="11"/>
    </row>
    <row r="2495" spans="13:13" x14ac:dyDescent="0.35">
      <c r="M2495" s="11"/>
    </row>
    <row r="2496" spans="13:13" x14ac:dyDescent="0.35">
      <c r="M2496" s="11"/>
    </row>
    <row r="2497" spans="13:13" x14ac:dyDescent="0.35">
      <c r="M2497" s="11"/>
    </row>
    <row r="2498" spans="13:13" x14ac:dyDescent="0.35">
      <c r="M2498" s="11"/>
    </row>
    <row r="2499" spans="13:13" x14ac:dyDescent="0.35">
      <c r="M2499" s="11"/>
    </row>
    <row r="2500" spans="13:13" x14ac:dyDescent="0.35">
      <c r="M2500" s="11"/>
    </row>
    <row r="2501" spans="13:13" x14ac:dyDescent="0.35">
      <c r="M2501" s="11"/>
    </row>
    <row r="2502" spans="13:13" x14ac:dyDescent="0.35">
      <c r="M2502" s="11"/>
    </row>
    <row r="2503" spans="13:13" x14ac:dyDescent="0.35">
      <c r="M2503" s="11"/>
    </row>
    <row r="2504" spans="13:13" x14ac:dyDescent="0.35">
      <c r="M2504" s="11"/>
    </row>
    <row r="2505" spans="13:13" x14ac:dyDescent="0.35">
      <c r="M2505" s="11"/>
    </row>
    <row r="2506" spans="13:13" x14ac:dyDescent="0.35">
      <c r="M2506" s="11"/>
    </row>
    <row r="2507" spans="13:13" x14ac:dyDescent="0.35">
      <c r="M2507" s="11"/>
    </row>
    <row r="2508" spans="13:13" x14ac:dyDescent="0.35">
      <c r="M2508" s="11"/>
    </row>
    <row r="2509" spans="13:13" x14ac:dyDescent="0.35">
      <c r="M2509" s="11"/>
    </row>
    <row r="2510" spans="13:13" x14ac:dyDescent="0.35">
      <c r="M2510" s="11"/>
    </row>
    <row r="2511" spans="13:13" x14ac:dyDescent="0.35">
      <c r="M2511" s="11"/>
    </row>
    <row r="2512" spans="13:13" x14ac:dyDescent="0.35">
      <c r="M2512" s="11"/>
    </row>
    <row r="2513" spans="13:13" x14ac:dyDescent="0.35">
      <c r="M2513" s="11"/>
    </row>
    <row r="2514" spans="13:13" x14ac:dyDescent="0.35">
      <c r="M2514" s="11"/>
    </row>
    <row r="2515" spans="13:13" x14ac:dyDescent="0.35">
      <c r="M2515" s="11"/>
    </row>
    <row r="2516" spans="13:13" x14ac:dyDescent="0.35">
      <c r="M2516" s="11"/>
    </row>
    <row r="2517" spans="13:13" x14ac:dyDescent="0.35">
      <c r="M2517" s="11"/>
    </row>
    <row r="2518" spans="13:13" x14ac:dyDescent="0.35">
      <c r="M2518" s="11"/>
    </row>
    <row r="2519" spans="13:13" x14ac:dyDescent="0.35">
      <c r="M2519" s="11"/>
    </row>
    <row r="2520" spans="13:13" x14ac:dyDescent="0.35">
      <c r="M2520" s="11"/>
    </row>
    <row r="2521" spans="13:13" x14ac:dyDescent="0.35">
      <c r="M2521" s="11"/>
    </row>
    <row r="2522" spans="13:13" x14ac:dyDescent="0.35">
      <c r="M2522" s="11"/>
    </row>
    <row r="2523" spans="13:13" x14ac:dyDescent="0.35">
      <c r="M2523" s="11"/>
    </row>
    <row r="2524" spans="13:13" x14ac:dyDescent="0.35">
      <c r="M2524" s="11"/>
    </row>
    <row r="2525" spans="13:13" x14ac:dyDescent="0.35">
      <c r="M2525" s="11"/>
    </row>
    <row r="2526" spans="13:13" x14ac:dyDescent="0.35">
      <c r="M2526" s="11"/>
    </row>
    <row r="2527" spans="13:13" x14ac:dyDescent="0.35">
      <c r="M2527" s="11"/>
    </row>
    <row r="2528" spans="13:13" x14ac:dyDescent="0.35">
      <c r="M2528" s="11"/>
    </row>
    <row r="2529" spans="13:13" x14ac:dyDescent="0.35">
      <c r="M2529" s="11"/>
    </row>
    <row r="2530" spans="13:13" x14ac:dyDescent="0.35">
      <c r="M2530" s="11"/>
    </row>
    <row r="2531" spans="13:13" x14ac:dyDescent="0.35">
      <c r="M2531" s="11"/>
    </row>
    <row r="2532" spans="13:13" x14ac:dyDescent="0.35">
      <c r="M2532" s="11"/>
    </row>
    <row r="2533" spans="13:13" x14ac:dyDescent="0.35">
      <c r="M2533" s="11"/>
    </row>
    <row r="2534" spans="13:13" x14ac:dyDescent="0.35">
      <c r="M2534" s="11"/>
    </row>
    <row r="2535" spans="13:13" x14ac:dyDescent="0.35">
      <c r="M2535" s="11"/>
    </row>
    <row r="2536" spans="13:13" x14ac:dyDescent="0.35">
      <c r="M2536" s="11"/>
    </row>
    <row r="2537" spans="13:13" x14ac:dyDescent="0.35">
      <c r="M2537" s="11"/>
    </row>
    <row r="2538" spans="13:13" x14ac:dyDescent="0.35">
      <c r="M2538" s="11"/>
    </row>
    <row r="2539" spans="13:13" x14ac:dyDescent="0.35">
      <c r="M2539" s="11"/>
    </row>
    <row r="2540" spans="13:13" x14ac:dyDescent="0.35">
      <c r="M2540" s="11"/>
    </row>
    <row r="2541" spans="13:13" x14ac:dyDescent="0.35">
      <c r="M2541" s="11"/>
    </row>
    <row r="2542" spans="13:13" x14ac:dyDescent="0.35">
      <c r="M2542" s="11"/>
    </row>
    <row r="2543" spans="13:13" x14ac:dyDescent="0.35">
      <c r="M2543" s="11"/>
    </row>
    <row r="2544" spans="13:13" x14ac:dyDescent="0.35">
      <c r="M2544" s="11"/>
    </row>
    <row r="2545" spans="13:13" x14ac:dyDescent="0.35">
      <c r="M2545" s="11"/>
    </row>
    <row r="2546" spans="13:13" x14ac:dyDescent="0.35">
      <c r="M2546" s="11"/>
    </row>
    <row r="2547" spans="13:13" x14ac:dyDescent="0.35">
      <c r="M2547" s="11"/>
    </row>
    <row r="2548" spans="13:13" x14ac:dyDescent="0.35">
      <c r="M2548" s="11"/>
    </row>
    <row r="2549" spans="13:13" x14ac:dyDescent="0.35">
      <c r="M2549" s="11"/>
    </row>
    <row r="2550" spans="13:13" x14ac:dyDescent="0.35">
      <c r="M2550" s="11"/>
    </row>
    <row r="2551" spans="13:13" x14ac:dyDescent="0.35">
      <c r="M2551" s="11"/>
    </row>
    <row r="2552" spans="13:13" x14ac:dyDescent="0.35">
      <c r="M2552" s="11"/>
    </row>
    <row r="2553" spans="13:13" x14ac:dyDescent="0.35">
      <c r="M2553" s="11"/>
    </row>
    <row r="2554" spans="13:13" x14ac:dyDescent="0.35">
      <c r="M2554" s="11"/>
    </row>
    <row r="2555" spans="13:13" x14ac:dyDescent="0.35">
      <c r="M2555" s="11"/>
    </row>
    <row r="2556" spans="13:13" x14ac:dyDescent="0.35">
      <c r="M2556" s="11"/>
    </row>
    <row r="2557" spans="13:13" x14ac:dyDescent="0.35">
      <c r="M2557" s="11"/>
    </row>
    <row r="2558" spans="13:13" x14ac:dyDescent="0.35">
      <c r="M2558" s="11"/>
    </row>
    <row r="2559" spans="13:13" x14ac:dyDescent="0.35">
      <c r="M2559" s="11"/>
    </row>
    <row r="2560" spans="13:13" x14ac:dyDescent="0.35">
      <c r="M2560" s="11"/>
    </row>
    <row r="2561" spans="13:13" x14ac:dyDescent="0.35">
      <c r="M2561" s="11"/>
    </row>
    <row r="2562" spans="13:13" x14ac:dyDescent="0.35">
      <c r="M2562" s="11"/>
    </row>
    <row r="2563" spans="13:13" x14ac:dyDescent="0.35">
      <c r="M2563" s="11"/>
    </row>
    <row r="2564" spans="13:13" x14ac:dyDescent="0.35">
      <c r="M2564" s="11"/>
    </row>
    <row r="2565" spans="13:13" x14ac:dyDescent="0.35">
      <c r="M2565" s="11"/>
    </row>
    <row r="2566" spans="13:13" x14ac:dyDescent="0.35">
      <c r="M2566" s="11"/>
    </row>
    <row r="2567" spans="13:13" x14ac:dyDescent="0.35">
      <c r="M2567" s="11"/>
    </row>
    <row r="2568" spans="13:13" x14ac:dyDescent="0.35">
      <c r="M2568" s="11"/>
    </row>
    <row r="2569" spans="13:13" x14ac:dyDescent="0.35">
      <c r="M2569" s="11"/>
    </row>
    <row r="2570" spans="13:13" x14ac:dyDescent="0.35">
      <c r="M2570" s="11"/>
    </row>
    <row r="2571" spans="13:13" x14ac:dyDescent="0.35">
      <c r="M2571" s="11"/>
    </row>
    <row r="2572" spans="13:13" x14ac:dyDescent="0.35">
      <c r="M2572" s="11"/>
    </row>
    <row r="2573" spans="13:13" x14ac:dyDescent="0.35">
      <c r="M2573" s="11"/>
    </row>
    <row r="2574" spans="13:13" x14ac:dyDescent="0.35">
      <c r="M2574" s="11"/>
    </row>
    <row r="2575" spans="13:13" x14ac:dyDescent="0.35">
      <c r="M2575" s="11"/>
    </row>
    <row r="2576" spans="13:13" x14ac:dyDescent="0.35">
      <c r="M2576" s="11"/>
    </row>
    <row r="2577" spans="13:13" x14ac:dyDescent="0.35">
      <c r="M2577" s="11"/>
    </row>
    <row r="2578" spans="13:13" x14ac:dyDescent="0.35">
      <c r="M2578" s="11"/>
    </row>
    <row r="2579" spans="13:13" x14ac:dyDescent="0.35">
      <c r="M2579" s="11"/>
    </row>
    <row r="2580" spans="13:13" x14ac:dyDescent="0.35">
      <c r="M2580" s="11"/>
    </row>
    <row r="2581" spans="13:13" x14ac:dyDescent="0.35">
      <c r="M2581" s="11"/>
    </row>
    <row r="2582" spans="13:13" x14ac:dyDescent="0.35">
      <c r="M2582" s="11"/>
    </row>
    <row r="2583" spans="13:13" x14ac:dyDescent="0.35">
      <c r="M2583" s="11"/>
    </row>
    <row r="2584" spans="13:13" x14ac:dyDescent="0.35">
      <c r="M2584" s="11"/>
    </row>
    <row r="2585" spans="13:13" x14ac:dyDescent="0.35">
      <c r="M2585" s="11"/>
    </row>
    <row r="2586" spans="13:13" x14ac:dyDescent="0.35">
      <c r="M2586" s="11"/>
    </row>
    <row r="2587" spans="13:13" x14ac:dyDescent="0.35">
      <c r="M2587" s="11"/>
    </row>
    <row r="2588" spans="13:13" x14ac:dyDescent="0.35">
      <c r="M2588" s="11"/>
    </row>
    <row r="2589" spans="13:13" x14ac:dyDescent="0.35">
      <c r="M2589" s="11"/>
    </row>
    <row r="2590" spans="13:13" x14ac:dyDescent="0.35">
      <c r="M2590" s="11"/>
    </row>
    <row r="2591" spans="13:13" x14ac:dyDescent="0.35">
      <c r="M2591" s="11"/>
    </row>
    <row r="2592" spans="13:13" x14ac:dyDescent="0.35">
      <c r="M2592" s="11"/>
    </row>
    <row r="2593" spans="13:13" x14ac:dyDescent="0.35">
      <c r="M2593" s="11"/>
    </row>
    <row r="2594" spans="13:13" x14ac:dyDescent="0.35">
      <c r="M2594" s="11"/>
    </row>
    <row r="2595" spans="13:13" x14ac:dyDescent="0.35">
      <c r="M2595" s="11"/>
    </row>
    <row r="2596" spans="13:13" x14ac:dyDescent="0.35">
      <c r="M2596" s="11"/>
    </row>
    <row r="2597" spans="13:13" x14ac:dyDescent="0.35">
      <c r="M2597" s="11"/>
    </row>
    <row r="2598" spans="13:13" x14ac:dyDescent="0.35">
      <c r="M2598" s="11"/>
    </row>
    <row r="2599" spans="13:13" x14ac:dyDescent="0.35">
      <c r="M2599" s="11"/>
    </row>
    <row r="2600" spans="13:13" x14ac:dyDescent="0.35">
      <c r="M2600" s="11"/>
    </row>
    <row r="2601" spans="13:13" x14ac:dyDescent="0.35">
      <c r="M2601" s="11"/>
    </row>
    <row r="2602" spans="13:13" x14ac:dyDescent="0.35">
      <c r="M2602" s="11"/>
    </row>
    <row r="2603" spans="13:13" x14ac:dyDescent="0.35">
      <c r="M2603" s="11"/>
    </row>
    <row r="2604" spans="13:13" x14ac:dyDescent="0.35">
      <c r="M2604" s="11"/>
    </row>
    <row r="2605" spans="13:13" x14ac:dyDescent="0.35">
      <c r="M2605" s="11"/>
    </row>
    <row r="2606" spans="13:13" x14ac:dyDescent="0.35">
      <c r="M2606" s="11"/>
    </row>
    <row r="2607" spans="13:13" x14ac:dyDescent="0.35">
      <c r="M2607" s="11"/>
    </row>
    <row r="2608" spans="13:13" x14ac:dyDescent="0.35">
      <c r="M2608" s="11"/>
    </row>
    <row r="2609" spans="13:13" x14ac:dyDescent="0.35">
      <c r="M2609" s="11"/>
    </row>
    <row r="2610" spans="13:13" x14ac:dyDescent="0.35">
      <c r="M2610" s="11"/>
    </row>
    <row r="2611" spans="13:13" x14ac:dyDescent="0.35">
      <c r="M2611" s="11"/>
    </row>
    <row r="2612" spans="13:13" x14ac:dyDescent="0.35">
      <c r="M2612" s="11"/>
    </row>
    <row r="2613" spans="13:13" x14ac:dyDescent="0.35">
      <c r="M2613" s="11"/>
    </row>
    <row r="2614" spans="13:13" x14ac:dyDescent="0.35">
      <c r="M2614" s="11"/>
    </row>
    <row r="2615" spans="13:13" x14ac:dyDescent="0.35">
      <c r="M2615" s="11"/>
    </row>
    <row r="2616" spans="13:13" x14ac:dyDescent="0.35">
      <c r="M2616" s="11"/>
    </row>
    <row r="2617" spans="13:13" x14ac:dyDescent="0.35">
      <c r="M2617" s="11"/>
    </row>
    <row r="2618" spans="13:13" x14ac:dyDescent="0.35">
      <c r="M2618" s="11"/>
    </row>
    <row r="2619" spans="13:13" x14ac:dyDescent="0.35">
      <c r="M2619" s="11"/>
    </row>
    <row r="2620" spans="13:13" x14ac:dyDescent="0.35">
      <c r="M2620" s="11"/>
    </row>
    <row r="2621" spans="13:13" x14ac:dyDescent="0.35">
      <c r="M2621" s="11"/>
    </row>
    <row r="2622" spans="13:13" x14ac:dyDescent="0.35">
      <c r="M2622" s="11"/>
    </row>
    <row r="2623" spans="13:13" x14ac:dyDescent="0.35">
      <c r="M2623" s="11"/>
    </row>
    <row r="2624" spans="13:13" x14ac:dyDescent="0.35">
      <c r="M2624" s="11"/>
    </row>
    <row r="2625" spans="13:13" x14ac:dyDescent="0.35">
      <c r="M2625" s="11"/>
    </row>
    <row r="2626" spans="13:13" x14ac:dyDescent="0.35">
      <c r="M2626" s="11"/>
    </row>
    <row r="2627" spans="13:13" x14ac:dyDescent="0.35">
      <c r="M2627" s="11"/>
    </row>
    <row r="2628" spans="13:13" x14ac:dyDescent="0.35">
      <c r="M2628" s="11"/>
    </row>
    <row r="2629" spans="13:13" x14ac:dyDescent="0.35">
      <c r="M2629" s="11"/>
    </row>
    <row r="2630" spans="13:13" x14ac:dyDescent="0.35">
      <c r="M2630" s="11"/>
    </row>
    <row r="2631" spans="13:13" x14ac:dyDescent="0.35">
      <c r="M2631" s="11"/>
    </row>
    <row r="2632" spans="13:13" x14ac:dyDescent="0.35">
      <c r="M2632" s="11"/>
    </row>
    <row r="2633" spans="13:13" x14ac:dyDescent="0.35">
      <c r="M2633" s="11"/>
    </row>
    <row r="2634" spans="13:13" x14ac:dyDescent="0.35">
      <c r="M2634" s="11"/>
    </row>
    <row r="2635" spans="13:13" x14ac:dyDescent="0.35">
      <c r="M2635" s="11"/>
    </row>
    <row r="2636" spans="13:13" x14ac:dyDescent="0.35">
      <c r="M2636" s="11"/>
    </row>
    <row r="2637" spans="13:13" x14ac:dyDescent="0.35">
      <c r="M2637" s="11"/>
    </row>
    <row r="2638" spans="13:13" x14ac:dyDescent="0.35">
      <c r="M2638" s="11"/>
    </row>
    <row r="2639" spans="13:13" x14ac:dyDescent="0.35">
      <c r="M2639" s="11"/>
    </row>
    <row r="2640" spans="13:13" x14ac:dyDescent="0.35">
      <c r="M2640" s="11"/>
    </row>
    <row r="2641" spans="13:13" x14ac:dyDescent="0.35">
      <c r="M2641" s="11"/>
    </row>
    <row r="2642" spans="13:13" x14ac:dyDescent="0.35">
      <c r="M2642" s="11"/>
    </row>
    <row r="2643" spans="13:13" x14ac:dyDescent="0.35">
      <c r="M2643" s="11"/>
    </row>
    <row r="2644" spans="13:13" x14ac:dyDescent="0.35">
      <c r="M2644" s="11"/>
    </row>
    <row r="2645" spans="13:13" x14ac:dyDescent="0.35">
      <c r="M2645" s="11"/>
    </row>
    <row r="2646" spans="13:13" x14ac:dyDescent="0.35">
      <c r="M2646" s="11"/>
    </row>
    <row r="2647" spans="13:13" x14ac:dyDescent="0.35">
      <c r="M2647" s="11"/>
    </row>
    <row r="2648" spans="13:13" x14ac:dyDescent="0.35">
      <c r="M2648" s="11"/>
    </row>
    <row r="2649" spans="13:13" x14ac:dyDescent="0.35">
      <c r="M2649" s="11"/>
    </row>
    <row r="2650" spans="13:13" x14ac:dyDescent="0.35">
      <c r="M2650" s="11"/>
    </row>
    <row r="2651" spans="13:13" x14ac:dyDescent="0.35">
      <c r="M2651" s="11"/>
    </row>
    <row r="2652" spans="13:13" x14ac:dyDescent="0.35">
      <c r="M2652" s="11"/>
    </row>
    <row r="2653" spans="13:13" x14ac:dyDescent="0.35">
      <c r="M2653" s="11"/>
    </row>
    <row r="2654" spans="13:13" x14ac:dyDescent="0.35">
      <c r="M2654" s="11"/>
    </row>
    <row r="2655" spans="13:13" x14ac:dyDescent="0.35">
      <c r="M2655" s="11"/>
    </row>
    <row r="2656" spans="13:13" x14ac:dyDescent="0.35">
      <c r="M2656" s="11"/>
    </row>
    <row r="2657" spans="13:13" x14ac:dyDescent="0.35">
      <c r="M2657" s="11"/>
    </row>
    <row r="2658" spans="13:13" x14ac:dyDescent="0.35">
      <c r="M2658" s="11"/>
    </row>
    <row r="2659" spans="13:13" x14ac:dyDescent="0.35">
      <c r="M2659" s="11"/>
    </row>
    <row r="2660" spans="13:13" x14ac:dyDescent="0.35">
      <c r="M2660" s="11"/>
    </row>
    <row r="2661" spans="13:13" x14ac:dyDescent="0.35">
      <c r="M2661" s="11"/>
    </row>
    <row r="2662" spans="13:13" x14ac:dyDescent="0.35">
      <c r="M2662" s="11"/>
    </row>
    <row r="2663" spans="13:13" x14ac:dyDescent="0.35">
      <c r="M2663" s="11"/>
    </row>
    <row r="2664" spans="13:13" x14ac:dyDescent="0.35">
      <c r="M2664" s="11"/>
    </row>
    <row r="2665" spans="13:13" x14ac:dyDescent="0.35">
      <c r="M2665" s="11"/>
    </row>
    <row r="2666" spans="13:13" x14ac:dyDescent="0.35">
      <c r="M2666" s="11"/>
    </row>
    <row r="2667" spans="13:13" x14ac:dyDescent="0.35">
      <c r="M2667" s="11"/>
    </row>
    <row r="2668" spans="13:13" x14ac:dyDescent="0.35">
      <c r="M2668" s="11"/>
    </row>
    <row r="2669" spans="13:13" x14ac:dyDescent="0.35">
      <c r="M2669" s="11"/>
    </row>
    <row r="2670" spans="13:13" x14ac:dyDescent="0.35">
      <c r="M2670" s="11"/>
    </row>
    <row r="2671" spans="13:13" x14ac:dyDescent="0.35">
      <c r="M2671" s="11"/>
    </row>
    <row r="2672" spans="13:13" x14ac:dyDescent="0.35">
      <c r="M2672" s="11"/>
    </row>
    <row r="2673" spans="13:13" x14ac:dyDescent="0.35">
      <c r="M2673" s="11"/>
    </row>
    <row r="2674" spans="13:13" x14ac:dyDescent="0.35">
      <c r="M2674" s="11"/>
    </row>
    <row r="2675" spans="13:13" x14ac:dyDescent="0.35">
      <c r="M2675" s="11"/>
    </row>
    <row r="2676" spans="13:13" x14ac:dyDescent="0.35">
      <c r="M2676" s="11"/>
    </row>
    <row r="2677" spans="13:13" x14ac:dyDescent="0.35">
      <c r="M2677" s="11"/>
    </row>
    <row r="2678" spans="13:13" x14ac:dyDescent="0.35">
      <c r="M2678" s="11"/>
    </row>
    <row r="2679" spans="13:13" x14ac:dyDescent="0.35">
      <c r="M2679" s="11"/>
    </row>
    <row r="2680" spans="13:13" x14ac:dyDescent="0.35">
      <c r="M2680" s="11"/>
    </row>
    <row r="2681" spans="13:13" x14ac:dyDescent="0.35">
      <c r="M2681" s="11"/>
    </row>
    <row r="2682" spans="13:13" x14ac:dyDescent="0.35">
      <c r="M2682" s="11"/>
    </row>
    <row r="2683" spans="13:13" x14ac:dyDescent="0.35">
      <c r="M2683" s="11"/>
    </row>
    <row r="2684" spans="13:13" x14ac:dyDescent="0.35">
      <c r="M2684" s="11"/>
    </row>
    <row r="2685" spans="13:13" x14ac:dyDescent="0.35">
      <c r="M2685" s="11"/>
    </row>
    <row r="2686" spans="13:13" x14ac:dyDescent="0.35">
      <c r="M2686" s="11"/>
    </row>
    <row r="2687" spans="13:13" x14ac:dyDescent="0.35">
      <c r="M2687" s="11"/>
    </row>
    <row r="2688" spans="13:13" x14ac:dyDescent="0.35">
      <c r="M2688" s="11"/>
    </row>
    <row r="2689" spans="13:13" x14ac:dyDescent="0.35">
      <c r="M2689" s="11"/>
    </row>
    <row r="2690" spans="13:13" x14ac:dyDescent="0.35">
      <c r="M2690" s="11"/>
    </row>
    <row r="2691" spans="13:13" x14ac:dyDescent="0.35">
      <c r="M2691" s="11"/>
    </row>
    <row r="2692" spans="13:13" x14ac:dyDescent="0.35">
      <c r="M2692" s="11"/>
    </row>
    <row r="2693" spans="13:13" x14ac:dyDescent="0.35">
      <c r="M2693" s="11"/>
    </row>
    <row r="2694" spans="13:13" x14ac:dyDescent="0.35">
      <c r="M2694" s="11"/>
    </row>
    <row r="2695" spans="13:13" x14ac:dyDescent="0.35">
      <c r="M2695" s="11"/>
    </row>
    <row r="2696" spans="13:13" x14ac:dyDescent="0.35">
      <c r="M2696" s="11"/>
    </row>
    <row r="2697" spans="13:13" x14ac:dyDescent="0.35">
      <c r="M2697" s="11"/>
    </row>
    <row r="2698" spans="13:13" x14ac:dyDescent="0.35">
      <c r="M2698" s="11"/>
    </row>
    <row r="2699" spans="13:13" x14ac:dyDescent="0.35">
      <c r="M2699" s="11"/>
    </row>
    <row r="2700" spans="13:13" x14ac:dyDescent="0.35">
      <c r="M2700" s="11"/>
    </row>
    <row r="2701" spans="13:13" x14ac:dyDescent="0.35">
      <c r="M2701" s="11"/>
    </row>
    <row r="2702" spans="13:13" x14ac:dyDescent="0.35">
      <c r="M2702" s="11"/>
    </row>
    <row r="2703" spans="13:13" x14ac:dyDescent="0.35">
      <c r="M2703" s="11"/>
    </row>
    <row r="2704" spans="13:13" x14ac:dyDescent="0.35">
      <c r="M2704" s="11"/>
    </row>
    <row r="2705" spans="13:13" x14ac:dyDescent="0.35">
      <c r="M2705" s="11"/>
    </row>
    <row r="2706" spans="13:13" x14ac:dyDescent="0.35">
      <c r="M2706" s="11"/>
    </row>
    <row r="2707" spans="13:13" x14ac:dyDescent="0.35">
      <c r="M2707" s="11"/>
    </row>
    <row r="2708" spans="13:13" x14ac:dyDescent="0.35">
      <c r="M2708" s="11"/>
    </row>
    <row r="2709" spans="13:13" x14ac:dyDescent="0.35">
      <c r="M2709" s="11"/>
    </row>
    <row r="2710" spans="13:13" x14ac:dyDescent="0.35">
      <c r="M2710" s="11"/>
    </row>
    <row r="2711" spans="13:13" x14ac:dyDescent="0.35">
      <c r="M2711" s="11"/>
    </row>
    <row r="2712" spans="13:13" x14ac:dyDescent="0.35">
      <c r="M2712" s="11"/>
    </row>
    <row r="2713" spans="13:13" x14ac:dyDescent="0.35">
      <c r="M2713" s="11"/>
    </row>
    <row r="2714" spans="13:13" x14ac:dyDescent="0.35">
      <c r="M2714" s="11"/>
    </row>
    <row r="2715" spans="13:13" x14ac:dyDescent="0.35">
      <c r="M2715" s="11"/>
    </row>
    <row r="2716" spans="13:13" x14ac:dyDescent="0.35">
      <c r="M2716" s="11"/>
    </row>
    <row r="2717" spans="13:13" x14ac:dyDescent="0.35">
      <c r="M2717" s="11"/>
    </row>
    <row r="2718" spans="13:13" x14ac:dyDescent="0.35">
      <c r="M2718" s="11"/>
    </row>
    <row r="2719" spans="13:13" x14ac:dyDescent="0.35">
      <c r="M2719" s="11"/>
    </row>
    <row r="2720" spans="13:13" x14ac:dyDescent="0.35">
      <c r="M2720" s="11"/>
    </row>
    <row r="2721" spans="13:13" x14ac:dyDescent="0.35">
      <c r="M2721" s="11"/>
    </row>
    <row r="2722" spans="13:13" x14ac:dyDescent="0.35">
      <c r="M2722" s="11"/>
    </row>
    <row r="2723" spans="13:13" x14ac:dyDescent="0.35">
      <c r="M2723" s="11"/>
    </row>
    <row r="2724" spans="13:13" x14ac:dyDescent="0.35">
      <c r="M2724" s="11"/>
    </row>
    <row r="2725" spans="13:13" x14ac:dyDescent="0.35">
      <c r="M2725" s="11"/>
    </row>
    <row r="2726" spans="13:13" x14ac:dyDescent="0.35">
      <c r="M2726" s="11"/>
    </row>
    <row r="2727" spans="13:13" x14ac:dyDescent="0.35">
      <c r="M2727" s="11"/>
    </row>
    <row r="2728" spans="13:13" x14ac:dyDescent="0.35">
      <c r="M2728" s="11"/>
    </row>
    <row r="2729" spans="13:13" x14ac:dyDescent="0.35">
      <c r="M2729" s="11"/>
    </row>
    <row r="2730" spans="13:13" x14ac:dyDescent="0.35">
      <c r="M2730" s="11"/>
    </row>
    <row r="2731" spans="13:13" x14ac:dyDescent="0.35">
      <c r="M2731" s="11"/>
    </row>
    <row r="2732" spans="13:13" x14ac:dyDescent="0.35">
      <c r="M2732" s="11"/>
    </row>
    <row r="2733" spans="13:13" x14ac:dyDescent="0.35">
      <c r="M2733" s="11"/>
    </row>
    <row r="2734" spans="13:13" x14ac:dyDescent="0.35">
      <c r="M2734" s="11"/>
    </row>
    <row r="2735" spans="13:13" x14ac:dyDescent="0.35">
      <c r="M2735" s="11"/>
    </row>
    <row r="2736" spans="13:13" x14ac:dyDescent="0.35">
      <c r="M2736" s="11"/>
    </row>
    <row r="2737" spans="13:13" x14ac:dyDescent="0.35">
      <c r="M2737" s="11"/>
    </row>
    <row r="2738" spans="13:13" x14ac:dyDescent="0.35">
      <c r="M2738" s="11"/>
    </row>
    <row r="2739" spans="13:13" x14ac:dyDescent="0.35">
      <c r="M2739" s="11"/>
    </row>
    <row r="2740" spans="13:13" x14ac:dyDescent="0.35">
      <c r="M2740" s="11"/>
    </row>
    <row r="2741" spans="13:13" x14ac:dyDescent="0.35">
      <c r="M2741" s="11"/>
    </row>
    <row r="2742" spans="13:13" x14ac:dyDescent="0.35">
      <c r="M2742" s="11"/>
    </row>
    <row r="2743" spans="13:13" x14ac:dyDescent="0.35">
      <c r="M2743" s="11"/>
    </row>
    <row r="2744" spans="13:13" x14ac:dyDescent="0.35">
      <c r="M2744" s="11"/>
    </row>
    <row r="2745" spans="13:13" x14ac:dyDescent="0.35">
      <c r="M2745" s="11"/>
    </row>
    <row r="2746" spans="13:13" x14ac:dyDescent="0.35">
      <c r="M2746" s="11"/>
    </row>
    <row r="2747" spans="13:13" x14ac:dyDescent="0.35">
      <c r="M2747" s="11"/>
    </row>
    <row r="2748" spans="13:13" x14ac:dyDescent="0.35">
      <c r="M2748" s="11"/>
    </row>
    <row r="2749" spans="13:13" x14ac:dyDescent="0.35">
      <c r="M2749" s="11"/>
    </row>
    <row r="2750" spans="13:13" x14ac:dyDescent="0.35">
      <c r="M2750" s="11"/>
    </row>
    <row r="2751" spans="13:13" x14ac:dyDescent="0.35">
      <c r="M2751" s="11"/>
    </row>
    <row r="2752" spans="13:13" x14ac:dyDescent="0.35">
      <c r="M2752" s="11"/>
    </row>
    <row r="2753" spans="13:13" x14ac:dyDescent="0.35">
      <c r="M2753" s="11"/>
    </row>
    <row r="2754" spans="13:13" x14ac:dyDescent="0.35">
      <c r="M2754" s="11"/>
    </row>
    <row r="2755" spans="13:13" x14ac:dyDescent="0.35">
      <c r="M2755" s="11"/>
    </row>
    <row r="2756" spans="13:13" x14ac:dyDescent="0.35">
      <c r="M2756" s="11"/>
    </row>
    <row r="2757" spans="13:13" x14ac:dyDescent="0.35">
      <c r="M2757" s="11"/>
    </row>
    <row r="2758" spans="13:13" x14ac:dyDescent="0.35">
      <c r="M2758" s="11"/>
    </row>
    <row r="2759" spans="13:13" x14ac:dyDescent="0.35">
      <c r="M2759" s="11"/>
    </row>
    <row r="2760" spans="13:13" x14ac:dyDescent="0.35">
      <c r="M2760" s="11"/>
    </row>
    <row r="2761" spans="13:13" x14ac:dyDescent="0.35">
      <c r="M2761" s="11"/>
    </row>
    <row r="2762" spans="13:13" x14ac:dyDescent="0.35">
      <c r="M2762" s="11"/>
    </row>
    <row r="2763" spans="13:13" x14ac:dyDescent="0.35">
      <c r="M2763" s="11"/>
    </row>
    <row r="2764" spans="13:13" x14ac:dyDescent="0.35">
      <c r="M2764" s="11"/>
    </row>
    <row r="2765" spans="13:13" x14ac:dyDescent="0.35">
      <c r="M2765" s="11"/>
    </row>
    <row r="2766" spans="13:13" x14ac:dyDescent="0.35">
      <c r="M2766" s="11"/>
    </row>
    <row r="2767" spans="13:13" x14ac:dyDescent="0.35">
      <c r="M2767" s="11"/>
    </row>
    <row r="2768" spans="13:13" x14ac:dyDescent="0.35">
      <c r="M2768" s="11"/>
    </row>
    <row r="2769" spans="13:13" x14ac:dyDescent="0.35">
      <c r="M2769" s="11"/>
    </row>
    <row r="2770" spans="13:13" x14ac:dyDescent="0.35">
      <c r="M2770" s="11"/>
    </row>
    <row r="2771" spans="13:13" x14ac:dyDescent="0.35">
      <c r="M2771" s="11"/>
    </row>
    <row r="2772" spans="13:13" x14ac:dyDescent="0.35">
      <c r="M2772" s="11"/>
    </row>
    <row r="2773" spans="13:13" x14ac:dyDescent="0.35">
      <c r="M2773" s="11"/>
    </row>
    <row r="2774" spans="13:13" x14ac:dyDescent="0.35">
      <c r="M2774" s="11"/>
    </row>
    <row r="2775" spans="13:13" x14ac:dyDescent="0.35">
      <c r="M2775" s="11"/>
    </row>
    <row r="2776" spans="13:13" x14ac:dyDescent="0.35">
      <c r="M2776" s="11"/>
    </row>
    <row r="2777" spans="13:13" x14ac:dyDescent="0.35">
      <c r="M2777" s="11"/>
    </row>
    <row r="2778" spans="13:13" x14ac:dyDescent="0.35">
      <c r="M2778" s="11"/>
    </row>
    <row r="2779" spans="13:13" x14ac:dyDescent="0.35">
      <c r="M2779" s="11"/>
    </row>
    <row r="2780" spans="13:13" x14ac:dyDescent="0.35">
      <c r="M2780" s="11"/>
    </row>
    <row r="2781" spans="13:13" x14ac:dyDescent="0.35">
      <c r="M2781" s="11"/>
    </row>
    <row r="2782" spans="13:13" x14ac:dyDescent="0.35">
      <c r="M2782" s="11"/>
    </row>
    <row r="2783" spans="13:13" x14ac:dyDescent="0.35">
      <c r="M2783" s="11"/>
    </row>
    <row r="2784" spans="13:13" x14ac:dyDescent="0.35">
      <c r="M2784" s="11"/>
    </row>
    <row r="2785" spans="13:13" x14ac:dyDescent="0.35">
      <c r="M2785" s="11"/>
    </row>
    <row r="2786" spans="13:13" x14ac:dyDescent="0.35">
      <c r="M2786" s="11"/>
    </row>
    <row r="2787" spans="13:13" x14ac:dyDescent="0.35">
      <c r="M2787" s="11"/>
    </row>
    <row r="2788" spans="13:13" x14ac:dyDescent="0.35">
      <c r="M2788" s="11"/>
    </row>
    <row r="2789" spans="13:13" x14ac:dyDescent="0.35">
      <c r="M2789" s="11"/>
    </row>
    <row r="2790" spans="13:13" x14ac:dyDescent="0.35">
      <c r="M2790" s="11"/>
    </row>
    <row r="2791" spans="13:13" x14ac:dyDescent="0.35">
      <c r="M2791" s="11"/>
    </row>
    <row r="2792" spans="13:13" x14ac:dyDescent="0.35">
      <c r="M2792" s="11"/>
    </row>
    <row r="2793" spans="13:13" x14ac:dyDescent="0.35">
      <c r="M2793" s="11"/>
    </row>
    <row r="2794" spans="13:13" x14ac:dyDescent="0.35">
      <c r="M2794" s="11"/>
    </row>
    <row r="2795" spans="13:13" x14ac:dyDescent="0.35">
      <c r="M2795" s="11"/>
    </row>
    <row r="2796" spans="13:13" x14ac:dyDescent="0.35">
      <c r="M2796" s="11"/>
    </row>
    <row r="2797" spans="13:13" x14ac:dyDescent="0.35">
      <c r="M2797" s="11"/>
    </row>
    <row r="2798" spans="13:13" x14ac:dyDescent="0.35">
      <c r="M2798" s="11"/>
    </row>
    <row r="2799" spans="13:13" x14ac:dyDescent="0.35">
      <c r="M2799" s="11"/>
    </row>
    <row r="2800" spans="13:13" x14ac:dyDescent="0.35">
      <c r="M2800" s="11"/>
    </row>
    <row r="2801" spans="13:13" x14ac:dyDescent="0.35">
      <c r="M2801" s="11"/>
    </row>
    <row r="2802" spans="13:13" x14ac:dyDescent="0.35">
      <c r="M2802" s="11"/>
    </row>
    <row r="2803" spans="13:13" x14ac:dyDescent="0.35">
      <c r="M2803" s="11"/>
    </row>
    <row r="2804" spans="13:13" x14ac:dyDescent="0.35">
      <c r="M2804" s="11"/>
    </row>
    <row r="2805" spans="13:13" x14ac:dyDescent="0.35">
      <c r="M2805" s="11"/>
    </row>
    <row r="2806" spans="13:13" x14ac:dyDescent="0.35">
      <c r="M2806" s="11"/>
    </row>
    <row r="2807" spans="13:13" x14ac:dyDescent="0.35">
      <c r="M2807" s="11"/>
    </row>
    <row r="2808" spans="13:13" x14ac:dyDescent="0.35">
      <c r="M2808" s="11"/>
    </row>
    <row r="2809" spans="13:13" x14ac:dyDescent="0.35">
      <c r="M2809" s="11"/>
    </row>
    <row r="2810" spans="13:13" x14ac:dyDescent="0.35">
      <c r="M2810" s="11"/>
    </row>
    <row r="2811" spans="13:13" x14ac:dyDescent="0.35">
      <c r="M2811" s="11"/>
    </row>
    <row r="2812" spans="13:13" x14ac:dyDescent="0.35">
      <c r="M2812" s="11"/>
    </row>
    <row r="2813" spans="13:13" x14ac:dyDescent="0.35">
      <c r="M2813" s="11"/>
    </row>
    <row r="2814" spans="13:13" x14ac:dyDescent="0.35">
      <c r="M2814" s="11"/>
    </row>
    <row r="2815" spans="13:13" x14ac:dyDescent="0.35">
      <c r="M2815" s="11"/>
    </row>
    <row r="2816" spans="13:13" x14ac:dyDescent="0.35">
      <c r="M2816" s="11"/>
    </row>
    <row r="2817" spans="13:13" x14ac:dyDescent="0.35">
      <c r="M2817" s="11"/>
    </row>
    <row r="2818" spans="13:13" x14ac:dyDescent="0.35">
      <c r="M2818" s="11"/>
    </row>
    <row r="2819" spans="13:13" x14ac:dyDescent="0.35">
      <c r="M2819" s="11"/>
    </row>
    <row r="2820" spans="13:13" x14ac:dyDescent="0.35">
      <c r="M2820" s="11"/>
    </row>
    <row r="2821" spans="13:13" x14ac:dyDescent="0.35">
      <c r="M2821" s="11"/>
    </row>
    <row r="2822" spans="13:13" x14ac:dyDescent="0.35">
      <c r="M2822" s="11"/>
    </row>
    <row r="2823" spans="13:13" x14ac:dyDescent="0.35">
      <c r="M2823" s="11"/>
    </row>
    <row r="2824" spans="13:13" x14ac:dyDescent="0.35">
      <c r="M2824" s="11"/>
    </row>
    <row r="2825" spans="13:13" x14ac:dyDescent="0.35">
      <c r="M2825" s="11"/>
    </row>
    <row r="2826" spans="13:13" x14ac:dyDescent="0.35">
      <c r="M2826" s="11"/>
    </row>
    <row r="2827" spans="13:13" x14ac:dyDescent="0.35">
      <c r="M2827" s="11"/>
    </row>
    <row r="2828" spans="13:13" x14ac:dyDescent="0.35">
      <c r="M2828" s="11"/>
    </row>
    <row r="2829" spans="13:13" x14ac:dyDescent="0.35">
      <c r="M2829" s="11"/>
    </row>
    <row r="2830" spans="13:13" x14ac:dyDescent="0.35">
      <c r="M2830" s="11"/>
    </row>
    <row r="2831" spans="13:13" x14ac:dyDescent="0.35">
      <c r="M2831" s="11"/>
    </row>
    <row r="2832" spans="13:13" x14ac:dyDescent="0.35">
      <c r="M2832" s="11"/>
    </row>
    <row r="2833" spans="13:13" x14ac:dyDescent="0.35">
      <c r="M2833" s="11"/>
    </row>
    <row r="2834" spans="13:13" x14ac:dyDescent="0.35">
      <c r="M2834" s="11"/>
    </row>
    <row r="2835" spans="13:13" x14ac:dyDescent="0.35">
      <c r="M2835" s="11"/>
    </row>
    <row r="2836" spans="13:13" x14ac:dyDescent="0.35">
      <c r="M2836" s="11"/>
    </row>
    <row r="2837" spans="13:13" x14ac:dyDescent="0.35">
      <c r="M2837" s="11"/>
    </row>
    <row r="2838" spans="13:13" x14ac:dyDescent="0.35">
      <c r="M2838" s="11"/>
    </row>
    <row r="2839" spans="13:13" x14ac:dyDescent="0.35">
      <c r="M2839" s="11"/>
    </row>
    <row r="2840" spans="13:13" x14ac:dyDescent="0.35">
      <c r="M2840" s="11"/>
    </row>
    <row r="2841" spans="13:13" x14ac:dyDescent="0.35">
      <c r="M2841" s="11"/>
    </row>
    <row r="2842" spans="13:13" x14ac:dyDescent="0.35">
      <c r="M2842" s="11"/>
    </row>
    <row r="2843" spans="13:13" x14ac:dyDescent="0.35">
      <c r="M2843" s="11"/>
    </row>
    <row r="2844" spans="13:13" x14ac:dyDescent="0.35">
      <c r="M2844" s="11"/>
    </row>
    <row r="2845" spans="13:13" x14ac:dyDescent="0.35">
      <c r="M2845" s="11"/>
    </row>
    <row r="2846" spans="13:13" x14ac:dyDescent="0.35">
      <c r="M2846" s="11"/>
    </row>
    <row r="2847" spans="13:13" x14ac:dyDescent="0.35">
      <c r="M2847" s="11"/>
    </row>
    <row r="2848" spans="13:13" x14ac:dyDescent="0.35">
      <c r="M2848" s="11"/>
    </row>
    <row r="2849" spans="13:13" x14ac:dyDescent="0.35">
      <c r="M2849" s="11"/>
    </row>
    <row r="2850" spans="13:13" x14ac:dyDescent="0.35">
      <c r="M2850" s="11"/>
    </row>
    <row r="2851" spans="13:13" x14ac:dyDescent="0.35">
      <c r="M2851" s="11"/>
    </row>
    <row r="2852" spans="13:13" x14ac:dyDescent="0.35">
      <c r="M2852" s="11"/>
    </row>
    <row r="2853" spans="13:13" x14ac:dyDescent="0.35">
      <c r="M2853" s="11"/>
    </row>
    <row r="2854" spans="13:13" x14ac:dyDescent="0.35">
      <c r="M2854" s="11"/>
    </row>
    <row r="2855" spans="13:13" x14ac:dyDescent="0.35">
      <c r="M2855" s="11"/>
    </row>
    <row r="2856" spans="13:13" x14ac:dyDescent="0.35">
      <c r="M2856" s="11"/>
    </row>
    <row r="2857" spans="13:13" x14ac:dyDescent="0.35">
      <c r="M2857" s="11"/>
    </row>
    <row r="2858" spans="13:13" x14ac:dyDescent="0.35">
      <c r="M2858" s="11"/>
    </row>
    <row r="2859" spans="13:13" x14ac:dyDescent="0.35">
      <c r="M2859" s="11"/>
    </row>
    <row r="2860" spans="13:13" x14ac:dyDescent="0.35">
      <c r="M2860" s="11"/>
    </row>
    <row r="2861" spans="13:13" x14ac:dyDescent="0.35">
      <c r="M2861" s="11"/>
    </row>
    <row r="2862" spans="13:13" x14ac:dyDescent="0.35">
      <c r="M2862" s="11"/>
    </row>
    <row r="2863" spans="13:13" x14ac:dyDescent="0.35">
      <c r="M2863" s="11"/>
    </row>
    <row r="2864" spans="13:13" x14ac:dyDescent="0.35">
      <c r="M2864" s="11"/>
    </row>
    <row r="2865" spans="13:13" x14ac:dyDescent="0.35">
      <c r="M2865" s="11"/>
    </row>
    <row r="2866" spans="13:13" x14ac:dyDescent="0.35">
      <c r="M2866" s="11"/>
    </row>
    <row r="2867" spans="13:13" x14ac:dyDescent="0.35">
      <c r="M2867" s="11"/>
    </row>
    <row r="2868" spans="13:13" x14ac:dyDescent="0.35">
      <c r="M2868" s="11"/>
    </row>
    <row r="2869" spans="13:13" x14ac:dyDescent="0.35">
      <c r="M2869" s="11"/>
    </row>
    <row r="2870" spans="13:13" x14ac:dyDescent="0.35">
      <c r="M2870" s="11"/>
    </row>
    <row r="2871" spans="13:13" x14ac:dyDescent="0.35">
      <c r="M2871" s="11"/>
    </row>
    <row r="2872" spans="13:13" x14ac:dyDescent="0.35">
      <c r="M2872" s="11"/>
    </row>
    <row r="2873" spans="13:13" x14ac:dyDescent="0.35">
      <c r="M2873" s="11"/>
    </row>
    <row r="2874" spans="13:13" x14ac:dyDescent="0.35">
      <c r="M2874" s="11"/>
    </row>
    <row r="2875" spans="13:13" x14ac:dyDescent="0.35">
      <c r="M2875" s="11"/>
    </row>
    <row r="2876" spans="13:13" x14ac:dyDescent="0.35">
      <c r="M2876" s="11"/>
    </row>
    <row r="2877" spans="13:13" x14ac:dyDescent="0.35">
      <c r="M2877" s="11"/>
    </row>
    <row r="2878" spans="13:13" x14ac:dyDescent="0.35">
      <c r="M2878" s="11"/>
    </row>
    <row r="2879" spans="13:13" x14ac:dyDescent="0.35">
      <c r="M2879" s="11"/>
    </row>
    <row r="2880" spans="13:13" x14ac:dyDescent="0.35">
      <c r="M2880" s="11"/>
    </row>
    <row r="2881" spans="13:13" x14ac:dyDescent="0.35">
      <c r="M2881" s="11"/>
    </row>
    <row r="2882" spans="13:13" x14ac:dyDescent="0.35">
      <c r="M2882" s="11"/>
    </row>
    <row r="2883" spans="13:13" x14ac:dyDescent="0.35">
      <c r="M2883" s="11"/>
    </row>
    <row r="2884" spans="13:13" x14ac:dyDescent="0.35">
      <c r="M2884" s="11"/>
    </row>
    <row r="2885" spans="13:13" x14ac:dyDescent="0.35">
      <c r="M2885" s="11"/>
    </row>
    <row r="2886" spans="13:13" x14ac:dyDescent="0.35">
      <c r="M2886" s="11"/>
    </row>
    <row r="2887" spans="13:13" x14ac:dyDescent="0.35">
      <c r="M2887" s="11"/>
    </row>
    <row r="2888" spans="13:13" x14ac:dyDescent="0.35">
      <c r="M2888" s="11"/>
    </row>
    <row r="2889" spans="13:13" x14ac:dyDescent="0.35">
      <c r="M2889" s="11"/>
    </row>
    <row r="2890" spans="13:13" x14ac:dyDescent="0.35">
      <c r="M2890" s="11"/>
    </row>
    <row r="2891" spans="13:13" x14ac:dyDescent="0.35">
      <c r="M2891" s="11"/>
    </row>
    <row r="2892" spans="13:13" x14ac:dyDescent="0.35">
      <c r="M2892" s="11"/>
    </row>
    <row r="2893" spans="13:13" x14ac:dyDescent="0.35">
      <c r="M2893" s="11"/>
    </row>
    <row r="2894" spans="13:13" x14ac:dyDescent="0.35">
      <c r="M2894" s="11"/>
    </row>
    <row r="2895" spans="13:13" x14ac:dyDescent="0.35">
      <c r="M2895" s="11"/>
    </row>
    <row r="2896" spans="13:13" x14ac:dyDescent="0.35">
      <c r="M2896" s="11"/>
    </row>
    <row r="2897" spans="13:13" x14ac:dyDescent="0.35">
      <c r="M2897" s="11"/>
    </row>
    <row r="2898" spans="13:13" x14ac:dyDescent="0.35">
      <c r="M2898" s="11"/>
    </row>
    <row r="2899" spans="13:13" x14ac:dyDescent="0.35">
      <c r="M2899" s="11"/>
    </row>
    <row r="2900" spans="13:13" x14ac:dyDescent="0.35">
      <c r="M2900" s="11"/>
    </row>
    <row r="2901" spans="13:13" x14ac:dyDescent="0.35">
      <c r="M2901" s="11"/>
    </row>
    <row r="2902" spans="13:13" x14ac:dyDescent="0.35">
      <c r="M2902" s="11"/>
    </row>
    <row r="2903" spans="13:13" x14ac:dyDescent="0.35">
      <c r="M2903" s="11"/>
    </row>
    <row r="2904" spans="13:13" x14ac:dyDescent="0.35">
      <c r="M2904" s="11"/>
    </row>
    <row r="2905" spans="13:13" x14ac:dyDescent="0.35">
      <c r="M2905" s="11"/>
    </row>
    <row r="2906" spans="13:13" x14ac:dyDescent="0.35">
      <c r="M2906" s="11"/>
    </row>
    <row r="2907" spans="13:13" x14ac:dyDescent="0.35">
      <c r="M2907" s="11"/>
    </row>
    <row r="2908" spans="13:13" x14ac:dyDescent="0.35">
      <c r="M2908" s="11"/>
    </row>
    <row r="2909" spans="13:13" x14ac:dyDescent="0.35">
      <c r="M2909" s="11"/>
    </row>
    <row r="2910" spans="13:13" x14ac:dyDescent="0.35">
      <c r="M2910" s="11"/>
    </row>
    <row r="2911" spans="13:13" x14ac:dyDescent="0.35">
      <c r="M2911" s="11"/>
    </row>
    <row r="2912" spans="13:13" x14ac:dyDescent="0.35">
      <c r="M2912" s="11"/>
    </row>
    <row r="2913" spans="13:13" x14ac:dyDescent="0.35">
      <c r="M2913" s="11"/>
    </row>
    <row r="2914" spans="13:13" x14ac:dyDescent="0.35">
      <c r="M2914" s="11"/>
    </row>
    <row r="2915" spans="13:13" x14ac:dyDescent="0.35">
      <c r="M2915" s="11"/>
    </row>
    <row r="2916" spans="13:13" x14ac:dyDescent="0.35">
      <c r="M2916" s="11"/>
    </row>
    <row r="2917" spans="13:13" x14ac:dyDescent="0.35">
      <c r="M2917" s="11"/>
    </row>
    <row r="2918" spans="13:13" x14ac:dyDescent="0.35">
      <c r="M2918" s="11"/>
    </row>
    <row r="2919" spans="13:13" x14ac:dyDescent="0.35">
      <c r="M2919" s="11"/>
    </row>
    <row r="2920" spans="13:13" x14ac:dyDescent="0.35">
      <c r="M2920" s="11"/>
    </row>
    <row r="2921" spans="13:13" x14ac:dyDescent="0.35">
      <c r="M2921" s="11"/>
    </row>
    <row r="2922" spans="13:13" x14ac:dyDescent="0.35">
      <c r="M2922" s="11"/>
    </row>
    <row r="2923" spans="13:13" x14ac:dyDescent="0.35">
      <c r="M2923" s="11"/>
    </row>
    <row r="2924" spans="13:13" x14ac:dyDescent="0.35">
      <c r="M2924" s="11"/>
    </row>
    <row r="2925" spans="13:13" x14ac:dyDescent="0.35">
      <c r="M2925" s="11"/>
    </row>
    <row r="2926" spans="13:13" x14ac:dyDescent="0.35">
      <c r="M2926" s="11"/>
    </row>
    <row r="2927" spans="13:13" x14ac:dyDescent="0.35">
      <c r="M2927" s="11"/>
    </row>
    <row r="2928" spans="13:13" x14ac:dyDescent="0.35">
      <c r="M2928" s="11"/>
    </row>
    <row r="2929" spans="13:13" x14ac:dyDescent="0.35">
      <c r="M2929" s="11"/>
    </row>
    <row r="2930" spans="13:13" x14ac:dyDescent="0.35">
      <c r="M2930" s="11"/>
    </row>
    <row r="2931" spans="13:13" x14ac:dyDescent="0.35">
      <c r="M2931" s="11"/>
    </row>
    <row r="2932" spans="13:13" x14ac:dyDescent="0.35">
      <c r="M2932" s="11"/>
    </row>
    <row r="2933" spans="13:13" x14ac:dyDescent="0.35">
      <c r="M2933" s="11"/>
    </row>
    <row r="2934" spans="13:13" x14ac:dyDescent="0.35">
      <c r="M2934" s="11"/>
    </row>
    <row r="2935" spans="13:13" x14ac:dyDescent="0.35">
      <c r="M2935" s="11"/>
    </row>
    <row r="2936" spans="13:13" x14ac:dyDescent="0.35">
      <c r="M2936" s="11"/>
    </row>
    <row r="2937" spans="13:13" x14ac:dyDescent="0.35">
      <c r="M2937" s="11"/>
    </row>
    <row r="2938" spans="13:13" x14ac:dyDescent="0.35">
      <c r="M2938" s="11"/>
    </row>
    <row r="2939" spans="13:13" x14ac:dyDescent="0.35">
      <c r="M2939" s="11"/>
    </row>
    <row r="2940" spans="13:13" x14ac:dyDescent="0.35">
      <c r="M2940" s="11"/>
    </row>
    <row r="2941" spans="13:13" x14ac:dyDescent="0.35">
      <c r="M2941" s="11"/>
    </row>
    <row r="2942" spans="13:13" x14ac:dyDescent="0.35">
      <c r="M2942" s="11"/>
    </row>
    <row r="2943" spans="13:13" x14ac:dyDescent="0.35">
      <c r="M2943" s="11"/>
    </row>
    <row r="2944" spans="13:13" x14ac:dyDescent="0.35">
      <c r="M2944" s="11"/>
    </row>
    <row r="2945" spans="13:13" x14ac:dyDescent="0.35">
      <c r="M2945" s="11"/>
    </row>
    <row r="2946" spans="13:13" x14ac:dyDescent="0.35">
      <c r="M2946" s="11"/>
    </row>
    <row r="2947" spans="13:13" x14ac:dyDescent="0.35">
      <c r="M2947" s="11"/>
    </row>
    <row r="2948" spans="13:13" x14ac:dyDescent="0.35">
      <c r="M2948" s="11"/>
    </row>
    <row r="2949" spans="13:13" x14ac:dyDescent="0.35">
      <c r="M2949" s="11"/>
    </row>
    <row r="2950" spans="13:13" x14ac:dyDescent="0.35">
      <c r="M2950" s="11"/>
    </row>
    <row r="2951" spans="13:13" x14ac:dyDescent="0.35">
      <c r="M2951" s="11"/>
    </row>
    <row r="2952" spans="13:13" x14ac:dyDescent="0.35">
      <c r="M2952" s="11"/>
    </row>
    <row r="2953" spans="13:13" x14ac:dyDescent="0.35">
      <c r="M2953" s="11"/>
    </row>
    <row r="2954" spans="13:13" x14ac:dyDescent="0.35">
      <c r="M2954" s="11"/>
    </row>
    <row r="2955" spans="13:13" x14ac:dyDescent="0.35">
      <c r="M2955" s="11"/>
    </row>
    <row r="2956" spans="13:13" x14ac:dyDescent="0.35">
      <c r="M2956" s="11"/>
    </row>
    <row r="2957" spans="13:13" x14ac:dyDescent="0.35">
      <c r="M2957" s="11"/>
    </row>
    <row r="2958" spans="13:13" x14ac:dyDescent="0.35">
      <c r="M2958" s="11"/>
    </row>
    <row r="2959" spans="13:13" x14ac:dyDescent="0.35">
      <c r="M2959" s="11"/>
    </row>
    <row r="2960" spans="13:13" x14ac:dyDescent="0.35">
      <c r="M2960" s="11"/>
    </row>
    <row r="2961" spans="13:13" x14ac:dyDescent="0.35">
      <c r="M2961" s="11"/>
    </row>
    <row r="2962" spans="13:13" x14ac:dyDescent="0.35">
      <c r="M2962" s="11"/>
    </row>
    <row r="2963" spans="13:13" x14ac:dyDescent="0.35">
      <c r="M2963" s="11"/>
    </row>
    <row r="2964" spans="13:13" x14ac:dyDescent="0.35">
      <c r="M2964" s="11"/>
    </row>
    <row r="2965" spans="13:13" x14ac:dyDescent="0.35">
      <c r="M2965" s="11"/>
    </row>
    <row r="2966" spans="13:13" x14ac:dyDescent="0.35">
      <c r="M2966" s="11"/>
    </row>
    <row r="2967" spans="13:13" x14ac:dyDescent="0.35">
      <c r="M2967" s="11"/>
    </row>
    <row r="2968" spans="13:13" x14ac:dyDescent="0.35">
      <c r="M2968" s="11"/>
    </row>
    <row r="2969" spans="13:13" x14ac:dyDescent="0.35">
      <c r="M2969" s="11"/>
    </row>
    <row r="2970" spans="13:13" x14ac:dyDescent="0.35">
      <c r="M2970" s="11"/>
    </row>
    <row r="2971" spans="13:13" x14ac:dyDescent="0.35">
      <c r="M2971" s="11"/>
    </row>
    <row r="2972" spans="13:13" x14ac:dyDescent="0.35">
      <c r="M2972" s="11"/>
    </row>
    <row r="2973" spans="13:13" x14ac:dyDescent="0.35">
      <c r="M2973" s="11"/>
    </row>
    <row r="2974" spans="13:13" x14ac:dyDescent="0.35">
      <c r="M2974" s="11"/>
    </row>
    <row r="2975" spans="13:13" x14ac:dyDescent="0.35">
      <c r="M2975" s="11"/>
    </row>
    <row r="2976" spans="13:13" x14ac:dyDescent="0.35">
      <c r="M2976" s="11"/>
    </row>
    <row r="2977" spans="13:13" x14ac:dyDescent="0.35">
      <c r="M2977" s="11"/>
    </row>
    <row r="2978" spans="13:13" x14ac:dyDescent="0.35">
      <c r="M2978" s="11"/>
    </row>
    <row r="2979" spans="13:13" x14ac:dyDescent="0.35">
      <c r="M2979" s="11"/>
    </row>
    <row r="2980" spans="13:13" x14ac:dyDescent="0.35">
      <c r="M2980" s="11"/>
    </row>
    <row r="2981" spans="13:13" x14ac:dyDescent="0.35">
      <c r="M2981" s="11"/>
    </row>
    <row r="2982" spans="13:13" x14ac:dyDescent="0.35">
      <c r="M2982" s="11"/>
    </row>
    <row r="2983" spans="13:13" x14ac:dyDescent="0.35">
      <c r="M2983" s="11"/>
    </row>
    <row r="2984" spans="13:13" x14ac:dyDescent="0.35">
      <c r="M2984" s="11"/>
    </row>
    <row r="2985" spans="13:13" x14ac:dyDescent="0.35">
      <c r="M2985" s="11"/>
    </row>
    <row r="2986" spans="13:13" x14ac:dyDescent="0.35">
      <c r="M2986" s="11"/>
    </row>
    <row r="2987" spans="13:13" x14ac:dyDescent="0.35">
      <c r="M2987" s="11"/>
    </row>
    <row r="2988" spans="13:13" x14ac:dyDescent="0.35">
      <c r="M2988" s="11"/>
    </row>
    <row r="2989" spans="13:13" x14ac:dyDescent="0.35">
      <c r="M2989" s="11"/>
    </row>
    <row r="2990" spans="13:13" x14ac:dyDescent="0.35">
      <c r="M2990" s="11"/>
    </row>
    <row r="2991" spans="13:13" x14ac:dyDescent="0.35">
      <c r="M2991" s="11"/>
    </row>
    <row r="2992" spans="13:13" x14ac:dyDescent="0.35">
      <c r="M2992" s="11"/>
    </row>
    <row r="2993" spans="13:13" x14ac:dyDescent="0.35">
      <c r="M2993" s="11"/>
    </row>
    <row r="2994" spans="13:13" x14ac:dyDescent="0.35">
      <c r="M2994" s="11"/>
    </row>
    <row r="2995" spans="13:13" x14ac:dyDescent="0.35">
      <c r="M2995" s="11"/>
    </row>
    <row r="2996" spans="13:13" x14ac:dyDescent="0.35">
      <c r="M2996" s="11"/>
    </row>
    <row r="2997" spans="13:13" x14ac:dyDescent="0.35">
      <c r="M2997" s="11"/>
    </row>
    <row r="2998" spans="13:13" x14ac:dyDescent="0.35">
      <c r="M2998" s="11"/>
    </row>
    <row r="2999" spans="13:13" x14ac:dyDescent="0.35">
      <c r="M2999" s="11"/>
    </row>
    <row r="3000" spans="13:13" x14ac:dyDescent="0.35">
      <c r="M3000" s="11"/>
    </row>
    <row r="3001" spans="13:13" x14ac:dyDescent="0.35">
      <c r="M3001" s="11"/>
    </row>
    <row r="3002" spans="13:13" x14ac:dyDescent="0.35">
      <c r="M3002" s="11"/>
    </row>
    <row r="3003" spans="13:13" x14ac:dyDescent="0.35">
      <c r="M3003" s="11"/>
    </row>
    <row r="3004" spans="13:13" x14ac:dyDescent="0.35">
      <c r="M3004" s="11"/>
    </row>
    <row r="3005" spans="13:13" x14ac:dyDescent="0.35">
      <c r="M3005" s="11"/>
    </row>
    <row r="3006" spans="13:13" x14ac:dyDescent="0.35">
      <c r="M3006" s="11"/>
    </row>
    <row r="3007" spans="13:13" x14ac:dyDescent="0.35">
      <c r="M3007" s="11"/>
    </row>
    <row r="3008" spans="13:13" x14ac:dyDescent="0.35">
      <c r="M3008" s="11"/>
    </row>
    <row r="3009" spans="13:13" x14ac:dyDescent="0.35">
      <c r="M3009" s="11"/>
    </row>
    <row r="3010" spans="13:13" x14ac:dyDescent="0.35">
      <c r="M3010" s="11"/>
    </row>
    <row r="3011" spans="13:13" x14ac:dyDescent="0.35">
      <c r="M3011" s="11"/>
    </row>
    <row r="3012" spans="13:13" x14ac:dyDescent="0.35">
      <c r="M3012" s="11"/>
    </row>
    <row r="3013" spans="13:13" x14ac:dyDescent="0.35">
      <c r="M3013" s="11"/>
    </row>
    <row r="3014" spans="13:13" x14ac:dyDescent="0.35">
      <c r="M3014" s="11"/>
    </row>
    <row r="3015" spans="13:13" x14ac:dyDescent="0.35">
      <c r="M3015" s="11"/>
    </row>
    <row r="3016" spans="13:13" x14ac:dyDescent="0.35">
      <c r="M3016" s="11"/>
    </row>
    <row r="3017" spans="13:13" x14ac:dyDescent="0.35">
      <c r="M3017" s="11"/>
    </row>
    <row r="3018" spans="13:13" x14ac:dyDescent="0.35">
      <c r="M3018" s="11"/>
    </row>
    <row r="3019" spans="13:13" x14ac:dyDescent="0.35">
      <c r="M3019" s="11"/>
    </row>
    <row r="3020" spans="13:13" x14ac:dyDescent="0.35">
      <c r="M3020" s="11"/>
    </row>
    <row r="3021" spans="13:13" x14ac:dyDescent="0.35">
      <c r="M3021" s="11"/>
    </row>
    <row r="3022" spans="13:13" x14ac:dyDescent="0.35">
      <c r="M3022" s="11"/>
    </row>
    <row r="3023" spans="13:13" x14ac:dyDescent="0.35">
      <c r="M3023" s="11"/>
    </row>
    <row r="3024" spans="13:13" x14ac:dyDescent="0.35">
      <c r="M3024" s="11"/>
    </row>
    <row r="3025" spans="13:13" x14ac:dyDescent="0.35">
      <c r="M3025" s="11"/>
    </row>
    <row r="3026" spans="13:13" x14ac:dyDescent="0.35">
      <c r="M3026" s="11"/>
    </row>
    <row r="3027" spans="13:13" x14ac:dyDescent="0.35">
      <c r="M3027" s="11"/>
    </row>
    <row r="3028" spans="13:13" x14ac:dyDescent="0.35">
      <c r="M3028" s="11"/>
    </row>
    <row r="3029" spans="13:13" x14ac:dyDescent="0.35">
      <c r="M3029" s="11"/>
    </row>
    <row r="3030" spans="13:13" x14ac:dyDescent="0.35">
      <c r="M3030" s="11"/>
    </row>
    <row r="3031" spans="13:13" x14ac:dyDescent="0.35">
      <c r="M3031" s="11"/>
    </row>
    <row r="3032" spans="13:13" x14ac:dyDescent="0.35">
      <c r="M3032" s="11"/>
    </row>
    <row r="3033" spans="13:13" x14ac:dyDescent="0.35">
      <c r="M3033" s="11"/>
    </row>
    <row r="3034" spans="13:13" x14ac:dyDescent="0.35">
      <c r="M3034" s="11"/>
    </row>
    <row r="3035" spans="13:13" x14ac:dyDescent="0.35">
      <c r="M3035" s="11"/>
    </row>
    <row r="3036" spans="13:13" x14ac:dyDescent="0.35">
      <c r="M3036" s="11"/>
    </row>
    <row r="3037" spans="13:13" x14ac:dyDescent="0.35">
      <c r="M3037" s="11"/>
    </row>
    <row r="3038" spans="13:13" x14ac:dyDescent="0.35">
      <c r="M3038" s="11"/>
    </row>
    <row r="3039" spans="13:13" x14ac:dyDescent="0.35">
      <c r="M3039" s="11"/>
    </row>
    <row r="3040" spans="13:13" x14ac:dyDescent="0.35">
      <c r="M3040" s="11"/>
    </row>
    <row r="3041" spans="13:13" x14ac:dyDescent="0.35">
      <c r="M3041" s="11"/>
    </row>
    <row r="3042" spans="13:13" x14ac:dyDescent="0.35">
      <c r="M3042" s="11"/>
    </row>
    <row r="3043" spans="13:13" x14ac:dyDescent="0.35">
      <c r="M3043" s="11"/>
    </row>
    <row r="3044" spans="13:13" x14ac:dyDescent="0.35">
      <c r="M3044" s="11"/>
    </row>
    <row r="3045" spans="13:13" x14ac:dyDescent="0.35">
      <c r="M3045" s="11"/>
    </row>
    <row r="3046" spans="13:13" x14ac:dyDescent="0.35">
      <c r="M3046" s="11"/>
    </row>
    <row r="3047" spans="13:13" x14ac:dyDescent="0.35">
      <c r="M3047" s="11"/>
    </row>
    <row r="3048" spans="13:13" x14ac:dyDescent="0.35">
      <c r="M3048" s="11"/>
    </row>
    <row r="3049" spans="13:13" x14ac:dyDescent="0.35">
      <c r="M3049" s="11"/>
    </row>
    <row r="3050" spans="13:13" x14ac:dyDescent="0.35">
      <c r="M3050" s="11"/>
    </row>
    <row r="3051" spans="13:13" x14ac:dyDescent="0.35">
      <c r="M3051" s="11"/>
    </row>
    <row r="3052" spans="13:13" x14ac:dyDescent="0.35">
      <c r="M3052" s="11"/>
    </row>
    <row r="3053" spans="13:13" x14ac:dyDescent="0.35">
      <c r="M3053" s="11"/>
    </row>
    <row r="3054" spans="13:13" x14ac:dyDescent="0.35">
      <c r="M3054" s="11"/>
    </row>
    <row r="3055" spans="13:13" x14ac:dyDescent="0.35">
      <c r="M3055" s="11"/>
    </row>
    <row r="3056" spans="13:13" x14ac:dyDescent="0.35">
      <c r="M3056" s="11"/>
    </row>
    <row r="3057" spans="13:13" x14ac:dyDescent="0.35">
      <c r="M3057" s="11"/>
    </row>
    <row r="3058" spans="13:13" x14ac:dyDescent="0.35">
      <c r="M3058" s="11"/>
    </row>
    <row r="3059" spans="13:13" x14ac:dyDescent="0.35">
      <c r="M3059" s="11"/>
    </row>
    <row r="3060" spans="13:13" x14ac:dyDescent="0.35">
      <c r="M3060" s="11"/>
    </row>
    <row r="3061" spans="13:13" x14ac:dyDescent="0.35">
      <c r="M3061" s="11"/>
    </row>
    <row r="3062" spans="13:13" x14ac:dyDescent="0.35">
      <c r="M3062" s="11"/>
    </row>
    <row r="3063" spans="13:13" x14ac:dyDescent="0.35">
      <c r="M3063" s="11"/>
    </row>
    <row r="3064" spans="13:13" x14ac:dyDescent="0.35">
      <c r="M3064" s="11"/>
    </row>
    <row r="3065" spans="13:13" x14ac:dyDescent="0.35">
      <c r="M3065" s="11"/>
    </row>
    <row r="3066" spans="13:13" x14ac:dyDescent="0.35">
      <c r="M3066" s="11"/>
    </row>
    <row r="3067" spans="13:13" x14ac:dyDescent="0.35">
      <c r="M3067" s="11"/>
    </row>
    <row r="3068" spans="13:13" x14ac:dyDescent="0.35">
      <c r="M3068" s="11"/>
    </row>
    <row r="3069" spans="13:13" x14ac:dyDescent="0.35">
      <c r="M3069" s="11"/>
    </row>
    <row r="3070" spans="13:13" x14ac:dyDescent="0.35">
      <c r="M3070" s="11"/>
    </row>
    <row r="3071" spans="13:13" x14ac:dyDescent="0.35">
      <c r="M3071" s="11"/>
    </row>
    <row r="3072" spans="13:13" x14ac:dyDescent="0.35">
      <c r="M3072" s="11"/>
    </row>
    <row r="3073" spans="13:13" x14ac:dyDescent="0.35">
      <c r="M3073" s="11"/>
    </row>
    <row r="3074" spans="13:13" x14ac:dyDescent="0.35">
      <c r="M3074" s="11"/>
    </row>
    <row r="3075" spans="13:13" x14ac:dyDescent="0.35">
      <c r="M3075" s="11"/>
    </row>
    <row r="3076" spans="13:13" x14ac:dyDescent="0.35">
      <c r="M3076" s="11"/>
    </row>
    <row r="3077" spans="13:13" x14ac:dyDescent="0.35">
      <c r="M3077" s="11"/>
    </row>
    <row r="3078" spans="13:13" x14ac:dyDescent="0.35">
      <c r="M3078" s="11"/>
    </row>
    <row r="3079" spans="13:13" x14ac:dyDescent="0.35">
      <c r="M3079" s="11"/>
    </row>
    <row r="3080" spans="13:13" x14ac:dyDescent="0.35">
      <c r="M3080" s="11"/>
    </row>
    <row r="3081" spans="13:13" x14ac:dyDescent="0.35">
      <c r="M3081" s="11"/>
    </row>
    <row r="3082" spans="13:13" x14ac:dyDescent="0.35">
      <c r="M3082" s="11"/>
    </row>
    <row r="3083" spans="13:13" x14ac:dyDescent="0.35">
      <c r="M3083" s="11"/>
    </row>
    <row r="3084" spans="13:13" x14ac:dyDescent="0.35">
      <c r="M3084" s="11"/>
    </row>
    <row r="3085" spans="13:13" x14ac:dyDescent="0.35">
      <c r="M3085" s="11"/>
    </row>
    <row r="3086" spans="13:13" x14ac:dyDescent="0.35">
      <c r="M3086" s="11"/>
    </row>
    <row r="3087" spans="13:13" x14ac:dyDescent="0.35">
      <c r="M3087" s="11"/>
    </row>
    <row r="3088" spans="13:13" x14ac:dyDescent="0.35">
      <c r="M3088" s="11"/>
    </row>
    <row r="3089" spans="13:13" x14ac:dyDescent="0.35">
      <c r="M3089" s="11"/>
    </row>
    <row r="3090" spans="13:13" x14ac:dyDescent="0.35">
      <c r="M3090" s="11"/>
    </row>
    <row r="3091" spans="13:13" x14ac:dyDescent="0.35">
      <c r="M3091" s="11"/>
    </row>
    <row r="3092" spans="13:13" x14ac:dyDescent="0.35">
      <c r="M3092" s="11"/>
    </row>
    <row r="3093" spans="13:13" x14ac:dyDescent="0.35">
      <c r="M3093" s="11"/>
    </row>
    <row r="3094" spans="13:13" x14ac:dyDescent="0.35">
      <c r="M3094" s="11"/>
    </row>
    <row r="3095" spans="13:13" x14ac:dyDescent="0.35">
      <c r="M3095" s="11"/>
    </row>
    <row r="3096" spans="13:13" x14ac:dyDescent="0.35">
      <c r="M3096" s="11"/>
    </row>
    <row r="3097" spans="13:13" x14ac:dyDescent="0.35">
      <c r="M3097" s="11"/>
    </row>
    <row r="3098" spans="13:13" x14ac:dyDescent="0.35">
      <c r="M3098" s="11"/>
    </row>
    <row r="3099" spans="13:13" x14ac:dyDescent="0.35">
      <c r="M3099" s="11"/>
    </row>
    <row r="3100" spans="13:13" x14ac:dyDescent="0.35">
      <c r="M3100" s="11"/>
    </row>
    <row r="3101" spans="13:13" x14ac:dyDescent="0.35">
      <c r="M3101" s="11"/>
    </row>
    <row r="3102" spans="13:13" x14ac:dyDescent="0.35">
      <c r="M3102" s="11"/>
    </row>
    <row r="3103" spans="13:13" x14ac:dyDescent="0.35">
      <c r="M3103" s="11"/>
    </row>
    <row r="3104" spans="13:13" x14ac:dyDescent="0.35">
      <c r="M3104" s="11"/>
    </row>
    <row r="3105" spans="13:13" x14ac:dyDescent="0.35">
      <c r="M3105" s="11"/>
    </row>
    <row r="3106" spans="13:13" x14ac:dyDescent="0.35">
      <c r="M3106" s="11"/>
    </row>
    <row r="3107" spans="13:13" x14ac:dyDescent="0.35">
      <c r="M3107" s="11"/>
    </row>
    <row r="3108" spans="13:13" x14ac:dyDescent="0.35">
      <c r="M3108" s="11"/>
    </row>
    <row r="3109" spans="13:13" x14ac:dyDescent="0.35">
      <c r="M3109" s="11"/>
    </row>
    <row r="3110" spans="13:13" x14ac:dyDescent="0.35">
      <c r="M3110" s="11"/>
    </row>
    <row r="3111" spans="13:13" x14ac:dyDescent="0.35">
      <c r="M3111" s="11"/>
    </row>
    <row r="3112" spans="13:13" x14ac:dyDescent="0.35">
      <c r="M3112" s="11"/>
    </row>
    <row r="3113" spans="13:13" x14ac:dyDescent="0.35">
      <c r="M3113" s="11"/>
    </row>
    <row r="3114" spans="13:13" x14ac:dyDescent="0.35">
      <c r="M3114" s="11"/>
    </row>
    <row r="3115" spans="13:13" x14ac:dyDescent="0.35">
      <c r="M3115" s="11"/>
    </row>
    <row r="3116" spans="13:13" x14ac:dyDescent="0.35">
      <c r="M3116" s="11"/>
    </row>
    <row r="3117" spans="13:13" x14ac:dyDescent="0.35">
      <c r="M3117" s="11"/>
    </row>
    <row r="3118" spans="13:13" x14ac:dyDescent="0.35">
      <c r="M3118" s="11"/>
    </row>
    <row r="3119" spans="13:13" x14ac:dyDescent="0.35">
      <c r="M3119" s="11"/>
    </row>
    <row r="3120" spans="13:13" x14ac:dyDescent="0.35">
      <c r="M3120" s="11"/>
    </row>
    <row r="3121" spans="13:13" x14ac:dyDescent="0.35">
      <c r="M3121" s="11"/>
    </row>
    <row r="3122" spans="13:13" x14ac:dyDescent="0.35">
      <c r="M3122" s="11"/>
    </row>
    <row r="3123" spans="13:13" x14ac:dyDescent="0.35">
      <c r="M3123" s="11"/>
    </row>
    <row r="3124" spans="13:13" x14ac:dyDescent="0.35">
      <c r="M3124" s="11"/>
    </row>
    <row r="3125" spans="13:13" x14ac:dyDescent="0.35">
      <c r="M3125" s="11"/>
    </row>
    <row r="3126" spans="13:13" x14ac:dyDescent="0.35">
      <c r="M3126" s="11"/>
    </row>
    <row r="3127" spans="13:13" x14ac:dyDescent="0.35">
      <c r="M3127" s="11"/>
    </row>
    <row r="3128" spans="13:13" x14ac:dyDescent="0.35">
      <c r="M3128" s="11"/>
    </row>
    <row r="3129" spans="13:13" x14ac:dyDescent="0.35">
      <c r="M3129" s="11"/>
    </row>
    <row r="3130" spans="13:13" x14ac:dyDescent="0.35">
      <c r="M3130" s="11"/>
    </row>
    <row r="3131" spans="13:13" x14ac:dyDescent="0.35">
      <c r="M3131" s="11"/>
    </row>
    <row r="3132" spans="13:13" x14ac:dyDescent="0.35">
      <c r="M3132" s="11"/>
    </row>
    <row r="3133" spans="13:13" x14ac:dyDescent="0.35">
      <c r="M3133" s="11"/>
    </row>
    <row r="3134" spans="13:13" x14ac:dyDescent="0.35">
      <c r="M3134" s="11"/>
    </row>
    <row r="3135" spans="13:13" x14ac:dyDescent="0.35">
      <c r="M3135" s="11"/>
    </row>
    <row r="3136" spans="13:13" x14ac:dyDescent="0.35">
      <c r="M3136" s="11"/>
    </row>
    <row r="3137" spans="13:13" x14ac:dyDescent="0.35">
      <c r="M3137" s="11"/>
    </row>
    <row r="3138" spans="13:13" x14ac:dyDescent="0.35">
      <c r="M3138" s="11"/>
    </row>
    <row r="3139" spans="13:13" x14ac:dyDescent="0.35">
      <c r="M3139" s="11"/>
    </row>
    <row r="3140" spans="13:13" x14ac:dyDescent="0.35">
      <c r="M3140" s="11"/>
    </row>
    <row r="3141" spans="13:13" x14ac:dyDescent="0.35">
      <c r="M3141" s="11"/>
    </row>
    <row r="3142" spans="13:13" x14ac:dyDescent="0.35">
      <c r="M3142" s="11"/>
    </row>
    <row r="3143" spans="13:13" x14ac:dyDescent="0.35">
      <c r="M3143" s="11"/>
    </row>
    <row r="3144" spans="13:13" x14ac:dyDescent="0.35">
      <c r="M3144" s="11"/>
    </row>
    <row r="3145" spans="13:13" x14ac:dyDescent="0.35">
      <c r="M3145" s="11"/>
    </row>
    <row r="3146" spans="13:13" x14ac:dyDescent="0.35">
      <c r="M3146" s="11"/>
    </row>
    <row r="3147" spans="13:13" x14ac:dyDescent="0.35">
      <c r="M3147" s="11"/>
    </row>
    <row r="3148" spans="13:13" x14ac:dyDescent="0.35">
      <c r="M3148" s="11"/>
    </row>
    <row r="3149" spans="13:13" x14ac:dyDescent="0.35">
      <c r="M3149" s="11"/>
    </row>
    <row r="3150" spans="13:13" x14ac:dyDescent="0.35">
      <c r="M3150" s="11"/>
    </row>
    <row r="3151" spans="13:13" x14ac:dyDescent="0.35">
      <c r="M3151" s="11"/>
    </row>
    <row r="3152" spans="13:13" x14ac:dyDescent="0.35">
      <c r="M3152" s="11"/>
    </row>
    <row r="3153" spans="13:13" x14ac:dyDescent="0.35">
      <c r="M3153" s="11"/>
    </row>
    <row r="3154" spans="13:13" x14ac:dyDescent="0.35">
      <c r="M3154" s="11"/>
    </row>
    <row r="3155" spans="13:13" x14ac:dyDescent="0.35">
      <c r="M3155" s="11"/>
    </row>
    <row r="3156" spans="13:13" x14ac:dyDescent="0.35">
      <c r="M3156" s="11"/>
    </row>
    <row r="3157" spans="13:13" x14ac:dyDescent="0.35">
      <c r="M3157" s="11"/>
    </row>
    <row r="3158" spans="13:13" x14ac:dyDescent="0.35">
      <c r="M3158" s="11"/>
    </row>
    <row r="3159" spans="13:13" x14ac:dyDescent="0.35">
      <c r="M3159" s="11"/>
    </row>
    <row r="3160" spans="13:13" x14ac:dyDescent="0.35">
      <c r="M3160" s="11"/>
    </row>
    <row r="3161" spans="13:13" x14ac:dyDescent="0.35">
      <c r="M3161" s="11"/>
    </row>
    <row r="3162" spans="13:13" x14ac:dyDescent="0.35">
      <c r="M3162" s="11"/>
    </row>
    <row r="3163" spans="13:13" x14ac:dyDescent="0.35">
      <c r="M3163" s="11"/>
    </row>
    <row r="3164" spans="13:13" x14ac:dyDescent="0.35">
      <c r="M3164" s="11"/>
    </row>
    <row r="3165" spans="13:13" x14ac:dyDescent="0.35">
      <c r="M3165" s="11"/>
    </row>
    <row r="3166" spans="13:13" x14ac:dyDescent="0.35">
      <c r="M3166" s="11"/>
    </row>
    <row r="3167" spans="13:13" x14ac:dyDescent="0.35">
      <c r="M3167" s="11"/>
    </row>
    <row r="3168" spans="13:13" x14ac:dyDescent="0.35">
      <c r="M3168" s="11"/>
    </row>
    <row r="3169" spans="13:13" x14ac:dyDescent="0.35">
      <c r="M3169" s="11"/>
    </row>
    <row r="3170" spans="13:13" x14ac:dyDescent="0.35">
      <c r="M3170" s="11"/>
    </row>
    <row r="3171" spans="13:13" x14ac:dyDescent="0.35">
      <c r="M3171" s="11"/>
    </row>
    <row r="3172" spans="13:13" x14ac:dyDescent="0.35">
      <c r="M3172" s="11"/>
    </row>
    <row r="3173" spans="13:13" x14ac:dyDescent="0.35">
      <c r="M3173" s="11"/>
    </row>
    <row r="3174" spans="13:13" x14ac:dyDescent="0.35">
      <c r="M3174" s="11"/>
    </row>
    <row r="3175" spans="13:13" x14ac:dyDescent="0.35">
      <c r="M3175" s="11"/>
    </row>
    <row r="3176" spans="13:13" x14ac:dyDescent="0.35">
      <c r="M3176" s="11"/>
    </row>
    <row r="3177" spans="13:13" x14ac:dyDescent="0.35">
      <c r="M3177" s="11"/>
    </row>
    <row r="3178" spans="13:13" x14ac:dyDescent="0.35">
      <c r="M3178" s="11"/>
    </row>
    <row r="3179" spans="13:13" x14ac:dyDescent="0.35">
      <c r="M3179" s="11"/>
    </row>
    <row r="3180" spans="13:13" x14ac:dyDescent="0.35">
      <c r="M3180" s="11"/>
    </row>
    <row r="3181" spans="13:13" x14ac:dyDescent="0.35">
      <c r="M3181" s="11"/>
    </row>
    <row r="3182" spans="13:13" x14ac:dyDescent="0.35">
      <c r="M3182" s="11"/>
    </row>
    <row r="3183" spans="13:13" x14ac:dyDescent="0.35">
      <c r="M3183" s="11"/>
    </row>
    <row r="3184" spans="13:13" x14ac:dyDescent="0.35">
      <c r="M3184" s="11"/>
    </row>
    <row r="3185" spans="13:13" x14ac:dyDescent="0.35">
      <c r="M3185" s="11"/>
    </row>
    <row r="3186" spans="13:13" x14ac:dyDescent="0.35">
      <c r="M3186" s="11"/>
    </row>
    <row r="3187" spans="13:13" x14ac:dyDescent="0.35">
      <c r="M3187" s="11"/>
    </row>
    <row r="3188" spans="13:13" x14ac:dyDescent="0.35">
      <c r="M3188" s="11"/>
    </row>
    <row r="3189" spans="13:13" x14ac:dyDescent="0.35">
      <c r="M3189" s="11"/>
    </row>
    <row r="3190" spans="13:13" x14ac:dyDescent="0.35">
      <c r="M3190" s="11"/>
    </row>
    <row r="3191" spans="13:13" x14ac:dyDescent="0.35">
      <c r="M3191" s="11"/>
    </row>
    <row r="3192" spans="13:13" x14ac:dyDescent="0.35">
      <c r="M3192" s="11"/>
    </row>
    <row r="3193" spans="13:13" x14ac:dyDescent="0.35">
      <c r="M3193" s="11"/>
    </row>
    <row r="3194" spans="13:13" x14ac:dyDescent="0.35">
      <c r="M3194" s="11"/>
    </row>
    <row r="3195" spans="13:13" x14ac:dyDescent="0.35">
      <c r="M3195" s="11"/>
    </row>
    <row r="3196" spans="13:13" x14ac:dyDescent="0.35">
      <c r="M3196" s="11"/>
    </row>
    <row r="3197" spans="13:13" x14ac:dyDescent="0.35">
      <c r="M3197" s="11"/>
    </row>
    <row r="3198" spans="13:13" x14ac:dyDescent="0.35">
      <c r="M3198" s="11"/>
    </row>
    <row r="3199" spans="13:13" x14ac:dyDescent="0.35">
      <c r="M3199" s="11"/>
    </row>
    <row r="3200" spans="13:13" x14ac:dyDescent="0.35">
      <c r="M3200" s="11"/>
    </row>
    <row r="3201" spans="13:13" x14ac:dyDescent="0.35">
      <c r="M3201" s="11"/>
    </row>
    <row r="3202" spans="13:13" x14ac:dyDescent="0.35">
      <c r="M3202" s="11"/>
    </row>
    <row r="3203" spans="13:13" x14ac:dyDescent="0.35">
      <c r="M3203" s="11"/>
    </row>
    <row r="3204" spans="13:13" x14ac:dyDescent="0.35">
      <c r="M3204" s="11"/>
    </row>
    <row r="3205" spans="13:13" x14ac:dyDescent="0.35">
      <c r="M3205" s="11"/>
    </row>
    <row r="3206" spans="13:13" x14ac:dyDescent="0.35">
      <c r="M3206" s="11"/>
    </row>
    <row r="3207" spans="13:13" x14ac:dyDescent="0.35">
      <c r="M3207" s="11"/>
    </row>
    <row r="3208" spans="13:13" x14ac:dyDescent="0.35">
      <c r="M3208" s="11"/>
    </row>
    <row r="3209" spans="13:13" x14ac:dyDescent="0.35">
      <c r="M3209" s="11"/>
    </row>
    <row r="3210" spans="13:13" x14ac:dyDescent="0.35">
      <c r="M3210" s="11"/>
    </row>
    <row r="3211" spans="13:13" x14ac:dyDescent="0.35">
      <c r="M3211" s="11"/>
    </row>
    <row r="3212" spans="13:13" x14ac:dyDescent="0.35">
      <c r="M3212" s="11"/>
    </row>
    <row r="3213" spans="13:13" x14ac:dyDescent="0.35">
      <c r="M3213" s="11"/>
    </row>
    <row r="3214" spans="13:13" x14ac:dyDescent="0.35">
      <c r="M3214" s="11"/>
    </row>
    <row r="3215" spans="13:13" x14ac:dyDescent="0.35">
      <c r="M3215" s="11"/>
    </row>
    <row r="3216" spans="13:13" x14ac:dyDescent="0.35">
      <c r="M3216" s="11"/>
    </row>
    <row r="3217" spans="13:13" x14ac:dyDescent="0.35">
      <c r="M3217" s="11"/>
    </row>
    <row r="3218" spans="13:13" x14ac:dyDescent="0.35">
      <c r="M3218" s="11"/>
    </row>
    <row r="3219" spans="13:13" x14ac:dyDescent="0.35">
      <c r="M3219" s="11"/>
    </row>
    <row r="3220" spans="13:13" x14ac:dyDescent="0.35">
      <c r="M3220" s="11"/>
    </row>
    <row r="3221" spans="13:13" x14ac:dyDescent="0.35">
      <c r="M3221" s="11"/>
    </row>
    <row r="3222" spans="13:13" x14ac:dyDescent="0.35">
      <c r="M3222" s="11"/>
    </row>
    <row r="3223" spans="13:13" x14ac:dyDescent="0.35">
      <c r="M3223" s="11"/>
    </row>
    <row r="3224" spans="13:13" x14ac:dyDescent="0.35">
      <c r="M3224" s="11"/>
    </row>
    <row r="3225" spans="13:13" x14ac:dyDescent="0.35">
      <c r="M3225" s="11"/>
    </row>
    <row r="3226" spans="13:13" x14ac:dyDescent="0.35">
      <c r="M3226" s="11"/>
    </row>
    <row r="3227" spans="13:13" x14ac:dyDescent="0.35">
      <c r="M3227" s="11"/>
    </row>
    <row r="3228" spans="13:13" x14ac:dyDescent="0.35">
      <c r="M3228" s="11"/>
    </row>
    <row r="3229" spans="13:13" x14ac:dyDescent="0.35">
      <c r="M3229" s="11"/>
    </row>
    <row r="3230" spans="13:13" x14ac:dyDescent="0.35">
      <c r="M3230" s="11"/>
    </row>
    <row r="3231" spans="13:13" x14ac:dyDescent="0.35">
      <c r="M3231" s="11"/>
    </row>
    <row r="3232" spans="13:13" x14ac:dyDescent="0.35">
      <c r="M3232" s="11"/>
    </row>
    <row r="3233" spans="13:13" x14ac:dyDescent="0.35">
      <c r="M3233" s="11"/>
    </row>
    <row r="3234" spans="13:13" x14ac:dyDescent="0.35">
      <c r="M3234" s="11"/>
    </row>
    <row r="3235" spans="13:13" x14ac:dyDescent="0.35">
      <c r="M3235" s="11"/>
    </row>
    <row r="3236" spans="13:13" x14ac:dyDescent="0.35">
      <c r="M3236" s="11"/>
    </row>
    <row r="3237" spans="13:13" x14ac:dyDescent="0.35">
      <c r="M3237" s="11"/>
    </row>
    <row r="3238" spans="13:13" x14ac:dyDescent="0.35">
      <c r="M3238" s="11"/>
    </row>
    <row r="3239" spans="13:13" x14ac:dyDescent="0.35">
      <c r="M3239" s="11"/>
    </row>
    <row r="3240" spans="13:13" x14ac:dyDescent="0.35">
      <c r="M3240" s="11"/>
    </row>
    <row r="3241" spans="13:13" x14ac:dyDescent="0.35">
      <c r="M3241" s="11"/>
    </row>
    <row r="3242" spans="13:13" x14ac:dyDescent="0.35">
      <c r="M3242" s="11"/>
    </row>
    <row r="3243" spans="13:13" x14ac:dyDescent="0.35">
      <c r="M3243" s="11"/>
    </row>
    <row r="3244" spans="13:13" x14ac:dyDescent="0.35">
      <c r="M3244" s="11"/>
    </row>
    <row r="3245" spans="13:13" x14ac:dyDescent="0.35">
      <c r="M3245" s="11"/>
    </row>
    <row r="3246" spans="13:13" x14ac:dyDescent="0.35">
      <c r="M3246" s="11"/>
    </row>
    <row r="3247" spans="13:13" x14ac:dyDescent="0.35">
      <c r="M3247" s="11"/>
    </row>
    <row r="3248" spans="13:13" x14ac:dyDescent="0.35">
      <c r="M3248" s="11"/>
    </row>
    <row r="3249" spans="13:13" x14ac:dyDescent="0.35">
      <c r="M3249" s="11"/>
    </row>
    <row r="3250" spans="13:13" x14ac:dyDescent="0.35">
      <c r="M3250" s="11"/>
    </row>
    <row r="3251" spans="13:13" x14ac:dyDescent="0.35">
      <c r="M3251" s="11"/>
    </row>
    <row r="3252" spans="13:13" x14ac:dyDescent="0.35">
      <c r="M3252" s="11"/>
    </row>
    <row r="3253" spans="13:13" x14ac:dyDescent="0.35">
      <c r="M3253" s="11"/>
    </row>
    <row r="3254" spans="13:13" x14ac:dyDescent="0.35">
      <c r="M3254" s="11"/>
    </row>
    <row r="3255" spans="13:13" x14ac:dyDescent="0.35">
      <c r="M3255" s="11"/>
    </row>
    <row r="3256" spans="13:13" x14ac:dyDescent="0.35">
      <c r="M3256" s="11"/>
    </row>
    <row r="3257" spans="13:13" x14ac:dyDescent="0.35">
      <c r="M3257" s="11"/>
    </row>
    <row r="3258" spans="13:13" x14ac:dyDescent="0.35">
      <c r="M3258" s="11"/>
    </row>
    <row r="3259" spans="13:13" x14ac:dyDescent="0.35">
      <c r="M3259" s="11"/>
    </row>
    <row r="3260" spans="13:13" x14ac:dyDescent="0.35">
      <c r="M3260" s="11"/>
    </row>
    <row r="3261" spans="13:13" x14ac:dyDescent="0.35">
      <c r="M3261" s="11"/>
    </row>
    <row r="3262" spans="13:13" x14ac:dyDescent="0.35">
      <c r="M3262" s="11"/>
    </row>
    <row r="3263" spans="13:13" x14ac:dyDescent="0.35">
      <c r="M3263" s="11"/>
    </row>
    <row r="3264" spans="13:13" x14ac:dyDescent="0.35">
      <c r="M3264" s="11"/>
    </row>
    <row r="3265" spans="13:13" x14ac:dyDescent="0.35">
      <c r="M3265" s="11"/>
    </row>
    <row r="3266" spans="13:13" x14ac:dyDescent="0.35">
      <c r="M3266" s="11"/>
    </row>
    <row r="3267" spans="13:13" x14ac:dyDescent="0.35">
      <c r="M3267" s="11"/>
    </row>
    <row r="3268" spans="13:13" x14ac:dyDescent="0.35">
      <c r="M3268" s="11"/>
    </row>
    <row r="3269" spans="13:13" x14ac:dyDescent="0.35">
      <c r="M3269" s="11"/>
    </row>
    <row r="3270" spans="13:13" x14ac:dyDescent="0.35">
      <c r="M3270" s="11"/>
    </row>
    <row r="3271" spans="13:13" x14ac:dyDescent="0.35">
      <c r="M3271" s="11"/>
    </row>
    <row r="3272" spans="13:13" x14ac:dyDescent="0.35">
      <c r="M3272" s="11"/>
    </row>
    <row r="3273" spans="13:13" x14ac:dyDescent="0.35">
      <c r="M3273" s="11"/>
    </row>
    <row r="3274" spans="13:13" x14ac:dyDescent="0.35">
      <c r="M3274" s="11"/>
    </row>
    <row r="3275" spans="13:13" x14ac:dyDescent="0.35">
      <c r="M3275" s="11"/>
    </row>
    <row r="3276" spans="13:13" x14ac:dyDescent="0.35">
      <c r="M3276" s="11"/>
    </row>
    <row r="3277" spans="13:13" x14ac:dyDescent="0.35">
      <c r="M3277" s="11"/>
    </row>
    <row r="3278" spans="13:13" x14ac:dyDescent="0.35">
      <c r="M3278" s="11"/>
    </row>
    <row r="3279" spans="13:13" x14ac:dyDescent="0.35">
      <c r="M3279" s="11"/>
    </row>
    <row r="3280" spans="13:13" x14ac:dyDescent="0.35">
      <c r="M3280" s="11"/>
    </row>
    <row r="3281" spans="13:13" x14ac:dyDescent="0.35">
      <c r="M3281" s="11"/>
    </row>
    <row r="3282" spans="13:13" x14ac:dyDescent="0.35">
      <c r="M3282" s="11"/>
    </row>
    <row r="3283" spans="13:13" x14ac:dyDescent="0.35">
      <c r="M3283" s="11"/>
    </row>
    <row r="3284" spans="13:13" x14ac:dyDescent="0.35">
      <c r="M3284" s="11"/>
    </row>
    <row r="3285" spans="13:13" x14ac:dyDescent="0.35">
      <c r="M3285" s="11"/>
    </row>
    <row r="3286" spans="13:13" x14ac:dyDescent="0.35">
      <c r="M3286" s="11"/>
    </row>
    <row r="3287" spans="13:13" x14ac:dyDescent="0.35">
      <c r="M3287" s="11"/>
    </row>
    <row r="3288" spans="13:13" x14ac:dyDescent="0.35">
      <c r="M3288" s="11"/>
    </row>
    <row r="3289" spans="13:13" x14ac:dyDescent="0.35">
      <c r="M3289" s="11"/>
    </row>
    <row r="3290" spans="13:13" x14ac:dyDescent="0.35">
      <c r="M3290" s="11"/>
    </row>
    <row r="3291" spans="13:13" x14ac:dyDescent="0.35">
      <c r="M3291" s="11"/>
    </row>
    <row r="3292" spans="13:13" x14ac:dyDescent="0.35">
      <c r="M3292" s="11"/>
    </row>
    <row r="3293" spans="13:13" x14ac:dyDescent="0.35">
      <c r="M3293" s="11"/>
    </row>
    <row r="3294" spans="13:13" x14ac:dyDescent="0.35">
      <c r="M3294" s="11"/>
    </row>
    <row r="3295" spans="13:13" x14ac:dyDescent="0.35">
      <c r="M3295" s="11"/>
    </row>
    <row r="3296" spans="13:13" x14ac:dyDescent="0.35">
      <c r="M3296" s="11"/>
    </row>
    <row r="3297" spans="13:13" x14ac:dyDescent="0.35">
      <c r="M3297" s="11"/>
    </row>
    <row r="3298" spans="13:13" x14ac:dyDescent="0.35">
      <c r="M3298" s="11"/>
    </row>
    <row r="3299" spans="13:13" x14ac:dyDescent="0.35">
      <c r="M3299" s="11"/>
    </row>
    <row r="3300" spans="13:13" x14ac:dyDescent="0.35">
      <c r="M3300" s="11"/>
    </row>
    <row r="3301" spans="13:13" x14ac:dyDescent="0.35">
      <c r="M3301" s="11"/>
    </row>
    <row r="3302" spans="13:13" x14ac:dyDescent="0.35">
      <c r="M3302" s="11"/>
    </row>
    <row r="3303" spans="13:13" x14ac:dyDescent="0.35">
      <c r="M3303" s="11"/>
    </row>
    <row r="3304" spans="13:13" x14ac:dyDescent="0.35">
      <c r="M3304" s="11"/>
    </row>
    <row r="3305" spans="13:13" x14ac:dyDescent="0.35">
      <c r="M3305" s="11"/>
    </row>
    <row r="3306" spans="13:13" x14ac:dyDescent="0.35">
      <c r="M3306" s="11"/>
    </row>
    <row r="3307" spans="13:13" x14ac:dyDescent="0.35">
      <c r="M3307" s="11"/>
    </row>
    <row r="3308" spans="13:13" x14ac:dyDescent="0.35">
      <c r="M3308" s="11"/>
    </row>
    <row r="3309" spans="13:13" x14ac:dyDescent="0.35">
      <c r="M3309" s="11"/>
    </row>
    <row r="3310" spans="13:13" x14ac:dyDescent="0.35">
      <c r="M3310" s="11"/>
    </row>
    <row r="3311" spans="13:13" x14ac:dyDescent="0.35">
      <c r="M3311" s="11"/>
    </row>
    <row r="3312" spans="13:13" x14ac:dyDescent="0.35">
      <c r="M3312" s="11"/>
    </row>
    <row r="3313" spans="13:13" x14ac:dyDescent="0.35">
      <c r="M3313" s="11"/>
    </row>
    <row r="3314" spans="13:13" x14ac:dyDescent="0.35">
      <c r="M3314" s="11"/>
    </row>
    <row r="3315" spans="13:13" x14ac:dyDescent="0.35">
      <c r="M3315" s="11"/>
    </row>
    <row r="3316" spans="13:13" x14ac:dyDescent="0.35">
      <c r="M3316" s="11"/>
    </row>
    <row r="3317" spans="13:13" x14ac:dyDescent="0.35">
      <c r="M3317" s="11"/>
    </row>
    <row r="3318" spans="13:13" x14ac:dyDescent="0.35">
      <c r="M3318" s="11"/>
    </row>
    <row r="3319" spans="13:13" x14ac:dyDescent="0.35">
      <c r="M3319" s="11"/>
    </row>
    <row r="3320" spans="13:13" x14ac:dyDescent="0.35">
      <c r="M3320" s="11"/>
    </row>
    <row r="3321" spans="13:13" x14ac:dyDescent="0.35">
      <c r="M3321" s="11"/>
    </row>
    <row r="3322" spans="13:13" x14ac:dyDescent="0.35">
      <c r="M3322" s="11"/>
    </row>
    <row r="3323" spans="13:13" x14ac:dyDescent="0.35">
      <c r="M3323" s="11"/>
    </row>
    <row r="3324" spans="13:13" x14ac:dyDescent="0.35">
      <c r="M3324" s="11"/>
    </row>
    <row r="3325" spans="13:13" x14ac:dyDescent="0.35">
      <c r="M3325" s="11"/>
    </row>
    <row r="3326" spans="13:13" x14ac:dyDescent="0.35">
      <c r="M3326" s="11"/>
    </row>
    <row r="3327" spans="13:13" x14ac:dyDescent="0.35">
      <c r="M3327" s="11"/>
    </row>
    <row r="3328" spans="13:13" x14ac:dyDescent="0.35">
      <c r="M3328" s="11"/>
    </row>
    <row r="3329" spans="13:13" x14ac:dyDescent="0.35">
      <c r="M3329" s="11"/>
    </row>
    <row r="3330" spans="13:13" x14ac:dyDescent="0.35">
      <c r="M3330" s="11"/>
    </row>
    <row r="3331" spans="13:13" x14ac:dyDescent="0.35">
      <c r="M3331" s="11"/>
    </row>
    <row r="3332" spans="13:13" x14ac:dyDescent="0.35">
      <c r="M3332" s="11"/>
    </row>
    <row r="3333" spans="13:13" x14ac:dyDescent="0.35">
      <c r="M3333" s="11"/>
    </row>
    <row r="3334" spans="13:13" x14ac:dyDescent="0.35">
      <c r="M3334" s="11"/>
    </row>
    <row r="3335" spans="13:13" x14ac:dyDescent="0.35">
      <c r="M3335" s="11"/>
    </row>
    <row r="3336" spans="13:13" x14ac:dyDescent="0.35">
      <c r="M3336" s="11"/>
    </row>
    <row r="3337" spans="13:13" x14ac:dyDescent="0.35">
      <c r="M3337" s="11"/>
    </row>
    <row r="3338" spans="13:13" x14ac:dyDescent="0.35">
      <c r="M3338" s="11"/>
    </row>
    <row r="3339" spans="13:13" x14ac:dyDescent="0.35">
      <c r="M3339" s="11"/>
    </row>
    <row r="3340" spans="13:13" x14ac:dyDescent="0.35">
      <c r="M3340" s="11"/>
    </row>
    <row r="3341" spans="13:13" x14ac:dyDescent="0.35">
      <c r="M3341" s="11"/>
    </row>
    <row r="3342" spans="13:13" x14ac:dyDescent="0.35">
      <c r="M3342" s="11"/>
    </row>
    <row r="3343" spans="13:13" x14ac:dyDescent="0.35">
      <c r="M3343" s="11"/>
    </row>
    <row r="3344" spans="13:13" x14ac:dyDescent="0.35">
      <c r="M3344" s="11"/>
    </row>
    <row r="3345" spans="13:13" x14ac:dyDescent="0.35">
      <c r="M3345" s="11"/>
    </row>
    <row r="3346" spans="13:13" x14ac:dyDescent="0.35">
      <c r="M3346" s="11"/>
    </row>
    <row r="3347" spans="13:13" x14ac:dyDescent="0.35">
      <c r="M3347" s="11"/>
    </row>
    <row r="3348" spans="13:13" x14ac:dyDescent="0.35">
      <c r="M3348" s="11"/>
    </row>
    <row r="3349" spans="13:13" x14ac:dyDescent="0.35">
      <c r="M3349" s="11"/>
    </row>
    <row r="3350" spans="13:13" x14ac:dyDescent="0.35">
      <c r="M3350" s="11"/>
    </row>
    <row r="3351" spans="13:13" x14ac:dyDescent="0.35">
      <c r="M3351" s="11"/>
    </row>
    <row r="3352" spans="13:13" x14ac:dyDescent="0.35">
      <c r="M3352" s="11"/>
    </row>
    <row r="3353" spans="13:13" x14ac:dyDescent="0.35">
      <c r="M3353" s="11"/>
    </row>
    <row r="3354" spans="13:13" x14ac:dyDescent="0.35">
      <c r="M3354" s="11"/>
    </row>
    <row r="3355" spans="13:13" x14ac:dyDescent="0.35">
      <c r="M3355" s="11"/>
    </row>
    <row r="3356" spans="13:13" x14ac:dyDescent="0.35">
      <c r="M3356" s="11"/>
    </row>
    <row r="3357" spans="13:13" x14ac:dyDescent="0.35">
      <c r="M3357" s="11"/>
    </row>
    <row r="3358" spans="13:13" x14ac:dyDescent="0.35">
      <c r="M3358" s="11"/>
    </row>
    <row r="3359" spans="13:13" x14ac:dyDescent="0.35">
      <c r="M3359" s="11"/>
    </row>
    <row r="3360" spans="13:13" x14ac:dyDescent="0.35">
      <c r="M3360" s="11"/>
    </row>
    <row r="3361" spans="13:13" x14ac:dyDescent="0.35">
      <c r="M3361" s="11"/>
    </row>
    <row r="3362" spans="13:13" x14ac:dyDescent="0.35">
      <c r="M3362" s="11"/>
    </row>
    <row r="3363" spans="13:13" x14ac:dyDescent="0.35">
      <c r="M3363" s="11"/>
    </row>
    <row r="3364" spans="13:13" x14ac:dyDescent="0.35">
      <c r="M3364" s="11"/>
    </row>
    <row r="3365" spans="13:13" x14ac:dyDescent="0.35">
      <c r="M3365" s="11"/>
    </row>
    <row r="3366" spans="13:13" x14ac:dyDescent="0.35">
      <c r="M3366" s="11"/>
    </row>
    <row r="3367" spans="13:13" x14ac:dyDescent="0.35">
      <c r="M3367" s="11"/>
    </row>
    <row r="3368" spans="13:13" x14ac:dyDescent="0.35">
      <c r="M3368" s="11"/>
    </row>
    <row r="3369" spans="13:13" x14ac:dyDescent="0.35">
      <c r="M3369" s="11"/>
    </row>
    <row r="3370" spans="13:13" x14ac:dyDescent="0.35">
      <c r="M3370" s="11"/>
    </row>
    <row r="3371" spans="13:13" x14ac:dyDescent="0.35">
      <c r="M3371" s="11"/>
    </row>
    <row r="3372" spans="13:13" x14ac:dyDescent="0.35">
      <c r="M3372" s="11"/>
    </row>
    <row r="3373" spans="13:13" x14ac:dyDescent="0.35">
      <c r="M3373" s="11"/>
    </row>
    <row r="3374" spans="13:13" x14ac:dyDescent="0.35">
      <c r="M3374" s="11"/>
    </row>
    <row r="3375" spans="13:13" x14ac:dyDescent="0.35">
      <c r="M3375" s="11"/>
    </row>
    <row r="3376" spans="13:13" x14ac:dyDescent="0.35">
      <c r="M3376" s="11"/>
    </row>
    <row r="3377" spans="13:13" x14ac:dyDescent="0.35">
      <c r="M3377" s="11"/>
    </row>
    <row r="3378" spans="13:13" x14ac:dyDescent="0.35">
      <c r="M3378" s="11"/>
    </row>
    <row r="3379" spans="13:13" x14ac:dyDescent="0.35">
      <c r="M3379" s="11"/>
    </row>
    <row r="3380" spans="13:13" x14ac:dyDescent="0.35">
      <c r="M3380" s="11"/>
    </row>
    <row r="3381" spans="13:13" x14ac:dyDescent="0.35">
      <c r="M3381" s="11"/>
    </row>
    <row r="3382" spans="13:13" x14ac:dyDescent="0.35">
      <c r="M3382" s="11"/>
    </row>
    <row r="3383" spans="13:13" x14ac:dyDescent="0.35">
      <c r="M3383" s="11"/>
    </row>
    <row r="3384" spans="13:13" x14ac:dyDescent="0.35">
      <c r="M3384" s="11"/>
    </row>
    <row r="3385" spans="13:13" x14ac:dyDescent="0.35">
      <c r="M3385" s="11"/>
    </row>
    <row r="3386" spans="13:13" x14ac:dyDescent="0.35">
      <c r="M3386" s="11"/>
    </row>
    <row r="3387" spans="13:13" x14ac:dyDescent="0.35">
      <c r="M3387" s="11"/>
    </row>
    <row r="3388" spans="13:13" x14ac:dyDescent="0.35">
      <c r="M3388" s="11"/>
    </row>
    <row r="3389" spans="13:13" x14ac:dyDescent="0.35">
      <c r="M3389" s="11"/>
    </row>
    <row r="3390" spans="13:13" x14ac:dyDescent="0.35">
      <c r="M3390" s="11"/>
    </row>
    <row r="3391" spans="13:13" x14ac:dyDescent="0.35">
      <c r="M3391" s="11"/>
    </row>
    <row r="3392" spans="13:13" x14ac:dyDescent="0.35">
      <c r="M3392" s="11"/>
    </row>
    <row r="3393" spans="13:13" x14ac:dyDescent="0.35">
      <c r="M3393" s="11"/>
    </row>
    <row r="3394" spans="13:13" x14ac:dyDescent="0.35">
      <c r="M3394" s="11"/>
    </row>
    <row r="3395" spans="13:13" x14ac:dyDescent="0.35">
      <c r="M3395" s="11"/>
    </row>
    <row r="3396" spans="13:13" x14ac:dyDescent="0.35">
      <c r="M3396" s="11"/>
    </row>
    <row r="3397" spans="13:13" x14ac:dyDescent="0.35">
      <c r="M3397" s="11"/>
    </row>
    <row r="3398" spans="13:13" x14ac:dyDescent="0.35">
      <c r="M3398" s="11"/>
    </row>
    <row r="3399" spans="13:13" x14ac:dyDescent="0.35">
      <c r="M3399" s="11"/>
    </row>
    <row r="3400" spans="13:13" x14ac:dyDescent="0.35">
      <c r="M3400" s="11"/>
    </row>
    <row r="3401" spans="13:13" x14ac:dyDescent="0.35">
      <c r="M3401" s="11"/>
    </row>
    <row r="3402" spans="13:13" x14ac:dyDescent="0.35">
      <c r="M3402" s="11"/>
    </row>
    <row r="3403" spans="13:13" x14ac:dyDescent="0.35">
      <c r="M3403" s="11"/>
    </row>
    <row r="3404" spans="13:13" x14ac:dyDescent="0.35">
      <c r="M3404" s="11"/>
    </row>
    <row r="3405" spans="13:13" x14ac:dyDescent="0.35">
      <c r="M3405" s="11"/>
    </row>
    <row r="3406" spans="13:13" x14ac:dyDescent="0.35">
      <c r="M3406" s="11"/>
    </row>
    <row r="3407" spans="13:13" x14ac:dyDescent="0.35">
      <c r="M3407" s="11"/>
    </row>
    <row r="3408" spans="13:13" x14ac:dyDescent="0.35">
      <c r="M3408" s="11"/>
    </row>
    <row r="3409" spans="13:13" x14ac:dyDescent="0.35">
      <c r="M3409" s="11"/>
    </row>
    <row r="3410" spans="13:13" x14ac:dyDescent="0.35">
      <c r="M3410" s="11"/>
    </row>
    <row r="3411" spans="13:13" x14ac:dyDescent="0.35">
      <c r="M3411" s="11"/>
    </row>
    <row r="3412" spans="13:13" x14ac:dyDescent="0.35">
      <c r="M3412" s="11"/>
    </row>
    <row r="3413" spans="13:13" x14ac:dyDescent="0.35">
      <c r="M3413" s="11"/>
    </row>
    <row r="3414" spans="13:13" x14ac:dyDescent="0.35">
      <c r="M3414" s="11"/>
    </row>
    <row r="3415" spans="13:13" x14ac:dyDescent="0.35">
      <c r="M3415" s="11"/>
    </row>
    <row r="3416" spans="13:13" x14ac:dyDescent="0.35">
      <c r="M3416" s="11"/>
    </row>
    <row r="3417" spans="13:13" x14ac:dyDescent="0.35">
      <c r="M3417" s="11"/>
    </row>
    <row r="3418" spans="13:13" x14ac:dyDescent="0.35">
      <c r="M3418" s="11"/>
    </row>
    <row r="3419" spans="13:13" x14ac:dyDescent="0.35">
      <c r="M3419" s="11"/>
    </row>
    <row r="3420" spans="13:13" x14ac:dyDescent="0.35">
      <c r="M3420" s="11"/>
    </row>
    <row r="3421" spans="13:13" x14ac:dyDescent="0.35">
      <c r="M3421" s="11"/>
    </row>
    <row r="3422" spans="13:13" x14ac:dyDescent="0.35">
      <c r="M3422" s="11"/>
    </row>
    <row r="3423" spans="13:13" x14ac:dyDescent="0.35">
      <c r="M3423" s="11"/>
    </row>
    <row r="3424" spans="13:13" x14ac:dyDescent="0.35">
      <c r="M3424" s="11"/>
    </row>
    <row r="3425" spans="13:13" x14ac:dyDescent="0.35">
      <c r="M3425" s="11"/>
    </row>
    <row r="3426" spans="13:13" x14ac:dyDescent="0.35">
      <c r="M3426" s="11"/>
    </row>
    <row r="3427" spans="13:13" x14ac:dyDescent="0.35">
      <c r="M3427" s="11"/>
    </row>
    <row r="3428" spans="13:13" x14ac:dyDescent="0.35">
      <c r="M3428" s="11"/>
    </row>
    <row r="3429" spans="13:13" x14ac:dyDescent="0.35">
      <c r="M3429" s="11"/>
    </row>
    <row r="3430" spans="13:13" x14ac:dyDescent="0.35">
      <c r="M3430" s="11"/>
    </row>
    <row r="3431" spans="13:13" x14ac:dyDescent="0.35">
      <c r="M3431" s="11"/>
    </row>
    <row r="3432" spans="13:13" x14ac:dyDescent="0.35">
      <c r="M3432" s="11"/>
    </row>
    <row r="3433" spans="13:13" x14ac:dyDescent="0.35">
      <c r="M3433" s="11"/>
    </row>
    <row r="3434" spans="13:13" x14ac:dyDescent="0.35">
      <c r="M3434" s="11"/>
    </row>
    <row r="3435" spans="13:13" x14ac:dyDescent="0.35">
      <c r="M3435" s="11"/>
    </row>
    <row r="3436" spans="13:13" x14ac:dyDescent="0.35">
      <c r="M3436" s="11"/>
    </row>
    <row r="3437" spans="13:13" x14ac:dyDescent="0.35">
      <c r="M3437" s="11"/>
    </row>
    <row r="3438" spans="13:13" x14ac:dyDescent="0.35">
      <c r="M3438" s="11"/>
    </row>
    <row r="3439" spans="13:13" x14ac:dyDescent="0.35">
      <c r="M3439" s="11"/>
    </row>
    <row r="3440" spans="13:13" x14ac:dyDescent="0.35">
      <c r="M3440" s="11"/>
    </row>
    <row r="3441" spans="13:13" x14ac:dyDescent="0.35">
      <c r="M3441" s="11"/>
    </row>
    <row r="3442" spans="13:13" x14ac:dyDescent="0.35">
      <c r="M3442" s="11"/>
    </row>
    <row r="3443" spans="13:13" x14ac:dyDescent="0.35">
      <c r="M3443" s="11"/>
    </row>
    <row r="3444" spans="13:13" x14ac:dyDescent="0.35">
      <c r="M3444" s="11"/>
    </row>
    <row r="3445" spans="13:13" x14ac:dyDescent="0.35">
      <c r="M3445" s="11"/>
    </row>
    <row r="3446" spans="13:13" x14ac:dyDescent="0.35">
      <c r="M3446" s="11"/>
    </row>
    <row r="3447" spans="13:13" x14ac:dyDescent="0.35">
      <c r="M3447" s="11"/>
    </row>
    <row r="3448" spans="13:13" x14ac:dyDescent="0.35">
      <c r="M3448" s="11"/>
    </row>
    <row r="3449" spans="13:13" x14ac:dyDescent="0.35">
      <c r="M3449" s="11"/>
    </row>
    <row r="3450" spans="13:13" x14ac:dyDescent="0.35">
      <c r="M3450" s="11"/>
    </row>
    <row r="3451" spans="13:13" x14ac:dyDescent="0.35">
      <c r="M3451" s="11"/>
    </row>
    <row r="3452" spans="13:13" x14ac:dyDescent="0.35">
      <c r="M3452" s="11"/>
    </row>
    <row r="3453" spans="13:13" x14ac:dyDescent="0.35">
      <c r="M3453" s="11"/>
    </row>
    <row r="3454" spans="13:13" x14ac:dyDescent="0.35">
      <c r="M3454" s="11"/>
    </row>
    <row r="3455" spans="13:13" x14ac:dyDescent="0.35">
      <c r="M3455" s="11"/>
    </row>
    <row r="3456" spans="13:13" x14ac:dyDescent="0.35">
      <c r="M3456" s="11"/>
    </row>
    <row r="3457" spans="13:13" x14ac:dyDescent="0.35">
      <c r="M3457" s="11"/>
    </row>
    <row r="3458" spans="13:13" x14ac:dyDescent="0.35">
      <c r="M3458" s="11"/>
    </row>
    <row r="3459" spans="13:13" x14ac:dyDescent="0.35">
      <c r="M3459" s="11"/>
    </row>
    <row r="3460" spans="13:13" x14ac:dyDescent="0.35">
      <c r="M3460" s="11"/>
    </row>
    <row r="3461" spans="13:13" x14ac:dyDescent="0.35">
      <c r="M3461" s="11"/>
    </row>
    <row r="3462" spans="13:13" x14ac:dyDescent="0.35">
      <c r="M3462" s="11"/>
    </row>
    <row r="3463" spans="13:13" x14ac:dyDescent="0.35">
      <c r="M3463" s="11"/>
    </row>
    <row r="3464" spans="13:13" x14ac:dyDescent="0.35">
      <c r="M3464" s="11"/>
    </row>
    <row r="3465" spans="13:13" x14ac:dyDescent="0.35">
      <c r="M3465" s="11"/>
    </row>
    <row r="3466" spans="13:13" x14ac:dyDescent="0.35">
      <c r="M3466" s="11"/>
    </row>
    <row r="3467" spans="13:13" x14ac:dyDescent="0.35">
      <c r="M3467" s="11"/>
    </row>
    <row r="3468" spans="13:13" x14ac:dyDescent="0.35">
      <c r="M3468" s="11"/>
    </row>
    <row r="3469" spans="13:13" x14ac:dyDescent="0.35">
      <c r="M3469" s="11"/>
    </row>
    <row r="3470" spans="13:13" x14ac:dyDescent="0.35">
      <c r="M3470" s="11"/>
    </row>
    <row r="3471" spans="13:13" x14ac:dyDescent="0.35">
      <c r="M3471" s="11"/>
    </row>
    <row r="3472" spans="13:13" x14ac:dyDescent="0.35">
      <c r="M3472" s="11"/>
    </row>
    <row r="3473" spans="13:13" x14ac:dyDescent="0.35">
      <c r="M3473" s="11"/>
    </row>
    <row r="3474" spans="13:13" x14ac:dyDescent="0.35">
      <c r="M3474" s="11"/>
    </row>
    <row r="3475" spans="13:13" x14ac:dyDescent="0.35">
      <c r="M3475" s="11"/>
    </row>
    <row r="3476" spans="13:13" x14ac:dyDescent="0.35">
      <c r="M3476" s="11"/>
    </row>
    <row r="3477" spans="13:13" x14ac:dyDescent="0.35">
      <c r="M3477" s="11"/>
    </row>
    <row r="3478" spans="13:13" x14ac:dyDescent="0.35">
      <c r="M3478" s="11"/>
    </row>
    <row r="3479" spans="13:13" x14ac:dyDescent="0.35">
      <c r="M3479" s="11"/>
    </row>
    <row r="3480" spans="13:13" x14ac:dyDescent="0.35">
      <c r="M3480" s="11"/>
    </row>
    <row r="3481" spans="13:13" x14ac:dyDescent="0.35">
      <c r="M3481" s="11"/>
    </row>
    <row r="3482" spans="13:13" x14ac:dyDescent="0.35">
      <c r="M3482" s="11"/>
    </row>
    <row r="3483" spans="13:13" x14ac:dyDescent="0.35">
      <c r="M3483" s="11"/>
    </row>
    <row r="3484" spans="13:13" x14ac:dyDescent="0.35">
      <c r="M3484" s="11"/>
    </row>
    <row r="3485" spans="13:13" x14ac:dyDescent="0.35">
      <c r="M3485" s="11"/>
    </row>
    <row r="3486" spans="13:13" x14ac:dyDescent="0.35">
      <c r="M3486" s="11"/>
    </row>
    <row r="3487" spans="13:13" x14ac:dyDescent="0.35">
      <c r="M3487" s="11"/>
    </row>
    <row r="3488" spans="13:13" x14ac:dyDescent="0.35">
      <c r="M3488" s="11"/>
    </row>
    <row r="3489" spans="13:13" x14ac:dyDescent="0.35">
      <c r="M3489" s="11"/>
    </row>
    <row r="3490" spans="13:13" x14ac:dyDescent="0.35">
      <c r="M3490" s="11"/>
    </row>
    <row r="3491" spans="13:13" x14ac:dyDescent="0.35">
      <c r="M3491" s="11"/>
    </row>
    <row r="3492" spans="13:13" x14ac:dyDescent="0.35">
      <c r="M3492" s="11"/>
    </row>
    <row r="3493" spans="13:13" x14ac:dyDescent="0.35">
      <c r="M3493" s="11"/>
    </row>
    <row r="3494" spans="13:13" x14ac:dyDescent="0.35">
      <c r="M3494" s="11"/>
    </row>
    <row r="3495" spans="13:13" x14ac:dyDescent="0.35">
      <c r="M3495" s="11"/>
    </row>
    <row r="3496" spans="13:13" x14ac:dyDescent="0.35">
      <c r="M3496" s="11"/>
    </row>
    <row r="3497" spans="13:13" x14ac:dyDescent="0.35">
      <c r="M3497" s="11"/>
    </row>
    <row r="3498" spans="13:13" x14ac:dyDescent="0.35">
      <c r="M3498" s="11"/>
    </row>
    <row r="3499" spans="13:13" x14ac:dyDescent="0.35">
      <c r="M3499" s="11"/>
    </row>
    <row r="3500" spans="13:13" x14ac:dyDescent="0.35">
      <c r="M3500" s="11"/>
    </row>
    <row r="3501" spans="13:13" x14ac:dyDescent="0.35">
      <c r="M3501" s="11"/>
    </row>
    <row r="3502" spans="13:13" x14ac:dyDescent="0.35">
      <c r="M3502" s="11"/>
    </row>
    <row r="3503" spans="13:13" x14ac:dyDescent="0.35">
      <c r="M3503" s="11"/>
    </row>
    <row r="3504" spans="13:13" x14ac:dyDescent="0.35">
      <c r="M3504" s="11"/>
    </row>
    <row r="3505" spans="13:13" x14ac:dyDescent="0.35">
      <c r="M3505" s="11"/>
    </row>
    <row r="3506" spans="13:13" x14ac:dyDescent="0.35">
      <c r="M3506" s="11"/>
    </row>
    <row r="3507" spans="13:13" x14ac:dyDescent="0.35">
      <c r="M3507" s="11"/>
    </row>
    <row r="3508" spans="13:13" x14ac:dyDescent="0.35">
      <c r="M3508" s="11"/>
    </row>
    <row r="3509" spans="13:13" x14ac:dyDescent="0.35">
      <c r="M3509" s="11"/>
    </row>
    <row r="3510" spans="13:13" x14ac:dyDescent="0.35">
      <c r="M3510" s="11"/>
    </row>
    <row r="3511" spans="13:13" x14ac:dyDescent="0.35">
      <c r="M3511" s="11"/>
    </row>
    <row r="3512" spans="13:13" x14ac:dyDescent="0.35">
      <c r="M3512" s="11"/>
    </row>
    <row r="3513" spans="13:13" x14ac:dyDescent="0.35">
      <c r="M3513" s="11"/>
    </row>
    <row r="3514" spans="13:13" x14ac:dyDescent="0.35">
      <c r="M3514" s="11"/>
    </row>
    <row r="3515" spans="13:13" x14ac:dyDescent="0.35">
      <c r="M3515" s="11"/>
    </row>
    <row r="3516" spans="13:13" x14ac:dyDescent="0.35">
      <c r="M3516" s="11"/>
    </row>
    <row r="3517" spans="13:13" x14ac:dyDescent="0.35">
      <c r="M3517" s="11"/>
    </row>
    <row r="3518" spans="13:13" x14ac:dyDescent="0.35">
      <c r="M3518" s="11"/>
    </row>
    <row r="3519" spans="13:13" x14ac:dyDescent="0.35">
      <c r="M3519" s="11"/>
    </row>
    <row r="3520" spans="13:13" x14ac:dyDescent="0.35">
      <c r="M3520" s="11"/>
    </row>
    <row r="3521" spans="13:13" x14ac:dyDescent="0.35">
      <c r="M3521" s="11"/>
    </row>
    <row r="3522" spans="13:13" x14ac:dyDescent="0.35">
      <c r="M3522" s="11"/>
    </row>
    <row r="3523" spans="13:13" x14ac:dyDescent="0.35">
      <c r="M3523" s="11"/>
    </row>
    <row r="3524" spans="13:13" x14ac:dyDescent="0.35">
      <c r="M3524" s="11"/>
    </row>
    <row r="3525" spans="13:13" x14ac:dyDescent="0.35">
      <c r="M3525" s="11"/>
    </row>
    <row r="3526" spans="13:13" x14ac:dyDescent="0.35">
      <c r="M3526" s="11"/>
    </row>
    <row r="3527" spans="13:13" x14ac:dyDescent="0.35">
      <c r="M3527" s="11"/>
    </row>
    <row r="3528" spans="13:13" x14ac:dyDescent="0.35">
      <c r="M3528" s="11"/>
    </row>
    <row r="3529" spans="13:13" x14ac:dyDescent="0.35">
      <c r="M3529" s="11"/>
    </row>
    <row r="3530" spans="13:13" x14ac:dyDescent="0.35">
      <c r="M3530" s="11"/>
    </row>
    <row r="3531" spans="13:13" x14ac:dyDescent="0.35">
      <c r="M3531" s="11"/>
    </row>
    <row r="3532" spans="13:13" x14ac:dyDescent="0.35">
      <c r="M3532" s="11"/>
    </row>
    <row r="3533" spans="13:13" x14ac:dyDescent="0.35">
      <c r="M3533" s="11"/>
    </row>
    <row r="3534" spans="13:13" x14ac:dyDescent="0.35">
      <c r="M3534" s="11"/>
    </row>
    <row r="3535" spans="13:13" x14ac:dyDescent="0.35">
      <c r="M3535" s="11"/>
    </row>
    <row r="3536" spans="13:13" x14ac:dyDescent="0.35">
      <c r="M3536" s="11"/>
    </row>
    <row r="3537" spans="13:13" x14ac:dyDescent="0.35">
      <c r="M3537" s="11"/>
    </row>
    <row r="3538" spans="13:13" x14ac:dyDescent="0.35">
      <c r="M3538" s="11"/>
    </row>
    <row r="3539" spans="13:13" x14ac:dyDescent="0.35">
      <c r="M3539" s="11"/>
    </row>
    <row r="3540" spans="13:13" x14ac:dyDescent="0.35">
      <c r="M3540" s="11"/>
    </row>
    <row r="3541" spans="13:13" x14ac:dyDescent="0.35">
      <c r="M3541" s="11"/>
    </row>
    <row r="3542" spans="13:13" x14ac:dyDescent="0.35">
      <c r="M3542" s="11"/>
    </row>
    <row r="3543" spans="13:13" x14ac:dyDescent="0.35">
      <c r="M3543" s="11"/>
    </row>
    <row r="3544" spans="13:13" x14ac:dyDescent="0.35">
      <c r="M3544" s="11"/>
    </row>
    <row r="3545" spans="13:13" x14ac:dyDescent="0.35">
      <c r="M3545" s="11"/>
    </row>
    <row r="3546" spans="13:13" x14ac:dyDescent="0.35">
      <c r="M3546" s="11"/>
    </row>
    <row r="3547" spans="13:13" x14ac:dyDescent="0.35">
      <c r="M3547" s="11"/>
    </row>
    <row r="3548" spans="13:13" x14ac:dyDescent="0.35">
      <c r="M3548" s="11"/>
    </row>
    <row r="3549" spans="13:13" x14ac:dyDescent="0.35">
      <c r="M3549" s="11"/>
    </row>
    <row r="3550" spans="13:13" x14ac:dyDescent="0.35">
      <c r="M3550" s="11"/>
    </row>
    <row r="3551" spans="13:13" x14ac:dyDescent="0.35">
      <c r="M3551" s="11"/>
    </row>
    <row r="3552" spans="13:13" x14ac:dyDescent="0.35">
      <c r="M3552" s="11"/>
    </row>
    <row r="3553" spans="13:13" x14ac:dyDescent="0.35">
      <c r="M3553" s="11"/>
    </row>
    <row r="3554" spans="13:13" x14ac:dyDescent="0.35">
      <c r="M3554" s="11"/>
    </row>
    <row r="3555" spans="13:13" x14ac:dyDescent="0.35">
      <c r="M3555" s="11"/>
    </row>
    <row r="3556" spans="13:13" x14ac:dyDescent="0.35">
      <c r="M3556" s="11"/>
    </row>
    <row r="3557" spans="13:13" x14ac:dyDescent="0.35">
      <c r="M3557" s="11"/>
    </row>
    <row r="3558" spans="13:13" x14ac:dyDescent="0.35">
      <c r="M3558" s="11"/>
    </row>
    <row r="3559" spans="13:13" x14ac:dyDescent="0.35">
      <c r="M3559" s="11"/>
    </row>
    <row r="3560" spans="13:13" x14ac:dyDescent="0.35">
      <c r="M3560" s="11"/>
    </row>
    <row r="3561" spans="13:13" x14ac:dyDescent="0.35">
      <c r="M3561" s="11"/>
    </row>
    <row r="3562" spans="13:13" x14ac:dyDescent="0.35">
      <c r="M3562" s="11"/>
    </row>
    <row r="3563" spans="13:13" x14ac:dyDescent="0.35">
      <c r="M3563" s="11"/>
    </row>
    <row r="3564" spans="13:13" x14ac:dyDescent="0.35">
      <c r="M3564" s="11"/>
    </row>
    <row r="3565" spans="13:13" x14ac:dyDescent="0.35">
      <c r="M3565" s="11"/>
    </row>
    <row r="3566" spans="13:13" x14ac:dyDescent="0.35">
      <c r="M3566" s="11"/>
    </row>
    <row r="3567" spans="13:13" x14ac:dyDescent="0.35">
      <c r="M3567" s="11"/>
    </row>
    <row r="3568" spans="13:13" x14ac:dyDescent="0.35">
      <c r="M3568" s="11"/>
    </row>
    <row r="3569" spans="13:13" x14ac:dyDescent="0.35">
      <c r="M3569" s="11"/>
    </row>
    <row r="3570" spans="13:13" x14ac:dyDescent="0.35">
      <c r="M3570" s="11"/>
    </row>
    <row r="3571" spans="13:13" x14ac:dyDescent="0.35">
      <c r="M3571" s="11"/>
    </row>
    <row r="3572" spans="13:13" x14ac:dyDescent="0.35">
      <c r="M3572" s="11"/>
    </row>
    <row r="3573" spans="13:13" x14ac:dyDescent="0.35">
      <c r="M3573" s="11"/>
    </row>
    <row r="3574" spans="13:13" x14ac:dyDescent="0.35">
      <c r="M3574" s="11"/>
    </row>
    <row r="3575" spans="13:13" x14ac:dyDescent="0.35">
      <c r="M3575" s="11"/>
    </row>
    <row r="3576" spans="13:13" x14ac:dyDescent="0.35">
      <c r="M3576" s="11"/>
    </row>
    <row r="3577" spans="13:13" x14ac:dyDescent="0.35">
      <c r="M3577" s="11"/>
    </row>
    <row r="3578" spans="13:13" x14ac:dyDescent="0.35">
      <c r="M3578" s="11"/>
    </row>
    <row r="3579" spans="13:13" x14ac:dyDescent="0.35">
      <c r="M3579" s="11"/>
    </row>
    <row r="3580" spans="13:13" x14ac:dyDescent="0.35">
      <c r="M3580" s="11"/>
    </row>
    <row r="3581" spans="13:13" x14ac:dyDescent="0.35">
      <c r="M3581" s="11"/>
    </row>
    <row r="3582" spans="13:13" x14ac:dyDescent="0.35">
      <c r="M3582" s="11"/>
    </row>
    <row r="3583" spans="13:13" x14ac:dyDescent="0.35">
      <c r="M3583" s="11"/>
    </row>
    <row r="3584" spans="13:13" x14ac:dyDescent="0.35">
      <c r="M3584" s="11"/>
    </row>
    <row r="3585" spans="13:13" x14ac:dyDescent="0.35">
      <c r="M3585" s="11"/>
    </row>
    <row r="3586" spans="13:13" x14ac:dyDescent="0.35">
      <c r="M3586" s="11"/>
    </row>
    <row r="3587" spans="13:13" x14ac:dyDescent="0.35">
      <c r="M3587" s="11"/>
    </row>
    <row r="3588" spans="13:13" x14ac:dyDescent="0.35">
      <c r="M3588" s="11"/>
    </row>
    <row r="3589" spans="13:13" x14ac:dyDescent="0.35">
      <c r="M3589" s="11"/>
    </row>
    <row r="3590" spans="13:13" x14ac:dyDescent="0.35">
      <c r="M3590" s="11"/>
    </row>
    <row r="3591" spans="13:13" x14ac:dyDescent="0.35">
      <c r="M3591" s="11"/>
    </row>
    <row r="3592" spans="13:13" x14ac:dyDescent="0.35">
      <c r="M3592" s="11"/>
    </row>
    <row r="3593" spans="13:13" x14ac:dyDescent="0.35">
      <c r="M3593" s="11"/>
    </row>
    <row r="3594" spans="13:13" x14ac:dyDescent="0.35">
      <c r="M3594" s="11"/>
    </row>
    <row r="3595" spans="13:13" x14ac:dyDescent="0.35">
      <c r="M3595" s="11"/>
    </row>
    <row r="3596" spans="13:13" x14ac:dyDescent="0.35">
      <c r="M3596" s="11"/>
    </row>
    <row r="3597" spans="13:13" x14ac:dyDescent="0.35">
      <c r="M3597" s="11"/>
    </row>
    <row r="3598" spans="13:13" x14ac:dyDescent="0.35">
      <c r="M3598" s="11"/>
    </row>
    <row r="3599" spans="13:13" x14ac:dyDescent="0.35">
      <c r="M3599" s="11"/>
    </row>
    <row r="3600" spans="13:13" x14ac:dyDescent="0.35">
      <c r="M3600" s="11"/>
    </row>
    <row r="3601" spans="13:13" x14ac:dyDescent="0.35">
      <c r="M3601" s="11"/>
    </row>
    <row r="3602" spans="13:13" x14ac:dyDescent="0.35">
      <c r="M3602" s="11"/>
    </row>
    <row r="3603" spans="13:13" x14ac:dyDescent="0.35">
      <c r="M3603" s="11"/>
    </row>
    <row r="3604" spans="13:13" x14ac:dyDescent="0.35">
      <c r="M3604" s="11"/>
    </row>
    <row r="3605" spans="13:13" x14ac:dyDescent="0.35">
      <c r="M3605" s="11"/>
    </row>
    <row r="3606" spans="13:13" x14ac:dyDescent="0.35">
      <c r="M3606" s="11"/>
    </row>
    <row r="3607" spans="13:13" x14ac:dyDescent="0.35">
      <c r="M3607" s="11"/>
    </row>
    <row r="3608" spans="13:13" x14ac:dyDescent="0.35">
      <c r="M3608" s="11"/>
    </row>
    <row r="3609" spans="13:13" x14ac:dyDescent="0.35">
      <c r="M3609" s="11"/>
    </row>
    <row r="3610" spans="13:13" x14ac:dyDescent="0.35">
      <c r="M3610" s="11"/>
    </row>
    <row r="3611" spans="13:13" x14ac:dyDescent="0.35">
      <c r="M3611" s="11"/>
    </row>
    <row r="3612" spans="13:13" x14ac:dyDescent="0.35">
      <c r="M3612" s="11"/>
    </row>
    <row r="3613" spans="13:13" x14ac:dyDescent="0.35">
      <c r="M3613" s="11"/>
    </row>
    <row r="3614" spans="13:13" x14ac:dyDescent="0.35">
      <c r="M3614" s="11"/>
    </row>
    <row r="3615" spans="13:13" x14ac:dyDescent="0.35">
      <c r="M3615" s="11"/>
    </row>
    <row r="3616" spans="13:13" x14ac:dyDescent="0.35">
      <c r="M3616" s="11"/>
    </row>
    <row r="3617" spans="13:13" x14ac:dyDescent="0.35">
      <c r="M3617" s="11"/>
    </row>
    <row r="3618" spans="13:13" x14ac:dyDescent="0.35">
      <c r="M3618" s="11"/>
    </row>
    <row r="3619" spans="13:13" x14ac:dyDescent="0.35">
      <c r="M3619" s="11"/>
    </row>
    <row r="3620" spans="13:13" x14ac:dyDescent="0.35">
      <c r="M3620" s="11"/>
    </row>
    <row r="3621" spans="13:13" x14ac:dyDescent="0.35">
      <c r="M3621" s="11"/>
    </row>
    <row r="3622" spans="13:13" x14ac:dyDescent="0.35">
      <c r="M3622" s="11"/>
    </row>
    <row r="3623" spans="13:13" x14ac:dyDescent="0.35">
      <c r="M3623" s="11"/>
    </row>
    <row r="3624" spans="13:13" x14ac:dyDescent="0.35">
      <c r="M3624" s="11"/>
    </row>
    <row r="3625" spans="13:13" x14ac:dyDescent="0.35">
      <c r="M3625" s="11"/>
    </row>
    <row r="3626" spans="13:13" x14ac:dyDescent="0.35">
      <c r="M3626" s="11"/>
    </row>
    <row r="3627" spans="13:13" x14ac:dyDescent="0.35">
      <c r="M3627" s="11"/>
    </row>
    <row r="3628" spans="13:13" x14ac:dyDescent="0.35">
      <c r="M3628" s="11"/>
    </row>
    <row r="3629" spans="13:13" x14ac:dyDescent="0.35">
      <c r="M3629" s="11"/>
    </row>
    <row r="3630" spans="13:13" x14ac:dyDescent="0.35">
      <c r="M3630" s="11"/>
    </row>
    <row r="3631" spans="13:13" x14ac:dyDescent="0.35">
      <c r="M3631" s="11"/>
    </row>
    <row r="3632" spans="13:13" x14ac:dyDescent="0.35">
      <c r="M3632" s="11"/>
    </row>
    <row r="3633" spans="13:13" x14ac:dyDescent="0.35">
      <c r="M3633" s="11"/>
    </row>
    <row r="3634" spans="13:13" x14ac:dyDescent="0.35">
      <c r="M3634" s="11"/>
    </row>
    <row r="3635" spans="13:13" x14ac:dyDescent="0.35">
      <c r="M3635" s="11"/>
    </row>
    <row r="3636" spans="13:13" x14ac:dyDescent="0.35">
      <c r="M3636" s="11"/>
    </row>
    <row r="3637" spans="13:13" x14ac:dyDescent="0.35">
      <c r="M3637" s="11"/>
    </row>
    <row r="3638" spans="13:13" x14ac:dyDescent="0.35">
      <c r="M3638" s="11"/>
    </row>
    <row r="3639" spans="13:13" x14ac:dyDescent="0.35">
      <c r="M3639" s="11"/>
    </row>
    <row r="3640" spans="13:13" x14ac:dyDescent="0.35">
      <c r="M3640" s="11"/>
    </row>
    <row r="3641" spans="13:13" x14ac:dyDescent="0.35">
      <c r="M3641" s="11"/>
    </row>
    <row r="3642" spans="13:13" x14ac:dyDescent="0.35">
      <c r="M3642" s="11"/>
    </row>
    <row r="3643" spans="13:13" x14ac:dyDescent="0.35">
      <c r="M3643" s="11"/>
    </row>
    <row r="3644" spans="13:13" x14ac:dyDescent="0.35">
      <c r="M3644" s="11"/>
    </row>
    <row r="3645" spans="13:13" x14ac:dyDescent="0.35">
      <c r="M3645" s="11"/>
    </row>
    <row r="3646" spans="13:13" x14ac:dyDescent="0.35">
      <c r="M3646" s="11"/>
    </row>
    <row r="3647" spans="13:13" x14ac:dyDescent="0.35">
      <c r="M3647" s="11"/>
    </row>
    <row r="3648" spans="13:13" x14ac:dyDescent="0.35">
      <c r="M3648" s="11"/>
    </row>
    <row r="3649" spans="13:13" x14ac:dyDescent="0.35">
      <c r="M3649" s="11"/>
    </row>
    <row r="3650" spans="13:13" x14ac:dyDescent="0.35">
      <c r="M3650" s="11"/>
    </row>
    <row r="3651" spans="13:13" x14ac:dyDescent="0.35">
      <c r="M3651" s="11"/>
    </row>
    <row r="3652" spans="13:13" x14ac:dyDescent="0.35">
      <c r="M3652" s="11"/>
    </row>
    <row r="3653" spans="13:13" x14ac:dyDescent="0.35">
      <c r="M3653" s="11"/>
    </row>
    <row r="3654" spans="13:13" x14ac:dyDescent="0.35">
      <c r="M3654" s="11"/>
    </row>
    <row r="3655" spans="13:13" x14ac:dyDescent="0.35">
      <c r="M3655" s="11"/>
    </row>
    <row r="3656" spans="13:13" x14ac:dyDescent="0.35">
      <c r="M3656" s="11"/>
    </row>
    <row r="3657" spans="13:13" x14ac:dyDescent="0.35">
      <c r="M3657" s="11"/>
    </row>
    <row r="3658" spans="13:13" x14ac:dyDescent="0.35">
      <c r="M3658" s="11"/>
    </row>
    <row r="3659" spans="13:13" x14ac:dyDescent="0.35">
      <c r="M3659" s="11"/>
    </row>
    <row r="3660" spans="13:13" x14ac:dyDescent="0.35">
      <c r="M3660" s="11"/>
    </row>
    <row r="3661" spans="13:13" x14ac:dyDescent="0.35">
      <c r="M3661" s="11"/>
    </row>
    <row r="3662" spans="13:13" x14ac:dyDescent="0.35">
      <c r="M3662" s="11"/>
    </row>
    <row r="3663" spans="13:13" x14ac:dyDescent="0.35">
      <c r="M3663" s="11"/>
    </row>
    <row r="3664" spans="13:13" x14ac:dyDescent="0.35">
      <c r="M3664" s="11"/>
    </row>
    <row r="3665" spans="13:13" x14ac:dyDescent="0.35">
      <c r="M3665" s="11"/>
    </row>
    <row r="3666" spans="13:13" x14ac:dyDescent="0.35">
      <c r="M3666" s="11"/>
    </row>
    <row r="3667" spans="13:13" x14ac:dyDescent="0.35">
      <c r="M3667" s="11"/>
    </row>
    <row r="3668" spans="13:13" x14ac:dyDescent="0.35">
      <c r="M3668" s="11"/>
    </row>
    <row r="3669" spans="13:13" x14ac:dyDescent="0.35">
      <c r="M3669" s="11"/>
    </row>
    <row r="3670" spans="13:13" x14ac:dyDescent="0.35">
      <c r="M3670" s="11"/>
    </row>
    <row r="3671" spans="13:13" x14ac:dyDescent="0.35">
      <c r="M3671" s="11"/>
    </row>
    <row r="3672" spans="13:13" x14ac:dyDescent="0.35">
      <c r="M3672" s="11"/>
    </row>
    <row r="3673" spans="13:13" x14ac:dyDescent="0.35">
      <c r="M3673" s="11"/>
    </row>
    <row r="3674" spans="13:13" x14ac:dyDescent="0.35">
      <c r="M3674" s="11"/>
    </row>
    <row r="3675" spans="13:13" x14ac:dyDescent="0.35">
      <c r="M3675" s="11"/>
    </row>
    <row r="3676" spans="13:13" x14ac:dyDescent="0.35">
      <c r="M3676" s="11"/>
    </row>
    <row r="3677" spans="13:13" x14ac:dyDescent="0.35">
      <c r="M3677" s="11"/>
    </row>
    <row r="3678" spans="13:13" x14ac:dyDescent="0.35">
      <c r="M3678" s="11"/>
    </row>
    <row r="3679" spans="13:13" x14ac:dyDescent="0.35">
      <c r="M3679" s="11"/>
    </row>
    <row r="3680" spans="13:13" x14ac:dyDescent="0.35">
      <c r="M3680" s="11"/>
    </row>
    <row r="3681" spans="13:13" x14ac:dyDescent="0.35">
      <c r="M3681" s="11"/>
    </row>
    <row r="3682" spans="13:13" x14ac:dyDescent="0.35">
      <c r="M3682" s="11"/>
    </row>
    <row r="3683" spans="13:13" x14ac:dyDescent="0.35">
      <c r="M3683" s="11"/>
    </row>
    <row r="3684" spans="13:13" x14ac:dyDescent="0.35">
      <c r="M3684" s="11"/>
    </row>
    <row r="3685" spans="13:13" x14ac:dyDescent="0.35">
      <c r="M3685" s="11"/>
    </row>
    <row r="3686" spans="13:13" x14ac:dyDescent="0.35">
      <c r="M3686" s="11"/>
    </row>
    <row r="3687" spans="13:13" x14ac:dyDescent="0.35">
      <c r="M3687" s="11"/>
    </row>
    <row r="3688" spans="13:13" x14ac:dyDescent="0.35">
      <c r="M3688" s="11"/>
    </row>
    <row r="3689" spans="13:13" x14ac:dyDescent="0.35">
      <c r="M3689" s="11"/>
    </row>
    <row r="3690" spans="13:13" x14ac:dyDescent="0.35">
      <c r="M3690" s="11"/>
    </row>
    <row r="3691" spans="13:13" x14ac:dyDescent="0.35">
      <c r="M3691" s="11"/>
    </row>
    <row r="3692" spans="13:13" x14ac:dyDescent="0.35">
      <c r="M3692" s="11"/>
    </row>
    <row r="3693" spans="13:13" x14ac:dyDescent="0.35">
      <c r="M3693" s="11"/>
    </row>
    <row r="3694" spans="13:13" x14ac:dyDescent="0.35">
      <c r="M3694" s="11"/>
    </row>
    <row r="3695" spans="13:13" x14ac:dyDescent="0.35">
      <c r="M3695" s="11"/>
    </row>
    <row r="3696" spans="13:13" x14ac:dyDescent="0.35">
      <c r="M3696" s="11"/>
    </row>
    <row r="3697" spans="13:13" x14ac:dyDescent="0.35">
      <c r="M3697" s="11"/>
    </row>
    <row r="3698" spans="13:13" x14ac:dyDescent="0.35">
      <c r="M3698" s="11"/>
    </row>
    <row r="3699" spans="13:13" x14ac:dyDescent="0.35">
      <c r="M3699" s="11"/>
    </row>
    <row r="3700" spans="13:13" x14ac:dyDescent="0.35">
      <c r="M3700" s="11"/>
    </row>
    <row r="3701" spans="13:13" x14ac:dyDescent="0.35">
      <c r="M3701" s="11"/>
    </row>
    <row r="3702" spans="13:13" x14ac:dyDescent="0.35">
      <c r="M3702" s="11"/>
    </row>
    <row r="3703" spans="13:13" x14ac:dyDescent="0.35">
      <c r="M3703" s="11"/>
    </row>
    <row r="3704" spans="13:13" x14ac:dyDescent="0.35">
      <c r="M3704" s="11"/>
    </row>
    <row r="3705" spans="13:13" x14ac:dyDescent="0.35">
      <c r="M3705" s="11"/>
    </row>
    <row r="3706" spans="13:13" x14ac:dyDescent="0.35">
      <c r="M3706" s="11"/>
    </row>
    <row r="3707" spans="13:13" x14ac:dyDescent="0.35">
      <c r="M3707" s="11"/>
    </row>
    <row r="3708" spans="13:13" x14ac:dyDescent="0.35">
      <c r="M3708" s="11"/>
    </row>
    <row r="3709" spans="13:13" x14ac:dyDescent="0.35">
      <c r="M3709" s="11"/>
    </row>
    <row r="3710" spans="13:13" x14ac:dyDescent="0.35">
      <c r="M3710" s="11"/>
    </row>
    <row r="3711" spans="13:13" x14ac:dyDescent="0.35">
      <c r="M3711" s="11"/>
    </row>
    <row r="3712" spans="13:13" x14ac:dyDescent="0.35">
      <c r="M3712" s="11"/>
    </row>
    <row r="3713" spans="13:13" x14ac:dyDescent="0.35">
      <c r="M3713" s="11"/>
    </row>
    <row r="3714" spans="13:13" x14ac:dyDescent="0.35">
      <c r="M3714" s="11"/>
    </row>
    <row r="3715" spans="13:13" x14ac:dyDescent="0.35">
      <c r="M3715" s="11"/>
    </row>
    <row r="3716" spans="13:13" x14ac:dyDescent="0.35">
      <c r="M3716" s="11"/>
    </row>
    <row r="3717" spans="13:13" x14ac:dyDescent="0.35">
      <c r="M3717" s="11"/>
    </row>
    <row r="3718" spans="13:13" x14ac:dyDescent="0.35">
      <c r="M3718" s="11"/>
    </row>
    <row r="3719" spans="13:13" x14ac:dyDescent="0.35">
      <c r="M3719" s="11"/>
    </row>
    <row r="3720" spans="13:13" x14ac:dyDescent="0.35">
      <c r="M3720" s="11"/>
    </row>
    <row r="3721" spans="13:13" x14ac:dyDescent="0.35">
      <c r="M3721" s="11"/>
    </row>
    <row r="3722" spans="13:13" x14ac:dyDescent="0.35">
      <c r="M3722" s="11"/>
    </row>
    <row r="3723" spans="13:13" x14ac:dyDescent="0.35">
      <c r="M3723" s="11"/>
    </row>
    <row r="3724" spans="13:13" x14ac:dyDescent="0.35">
      <c r="M3724" s="11"/>
    </row>
    <row r="3725" spans="13:13" x14ac:dyDescent="0.35">
      <c r="M3725" s="11"/>
    </row>
    <row r="3726" spans="13:13" x14ac:dyDescent="0.35">
      <c r="M3726" s="11"/>
    </row>
    <row r="3727" spans="13:13" x14ac:dyDescent="0.35">
      <c r="M3727" s="11"/>
    </row>
    <row r="3728" spans="13:13" x14ac:dyDescent="0.35">
      <c r="M3728" s="11"/>
    </row>
    <row r="3729" spans="13:13" x14ac:dyDescent="0.35">
      <c r="M3729" s="11"/>
    </row>
    <row r="3730" spans="13:13" x14ac:dyDescent="0.35">
      <c r="M3730" s="11"/>
    </row>
    <row r="3731" spans="13:13" x14ac:dyDescent="0.35">
      <c r="M3731" s="11"/>
    </row>
    <row r="3732" spans="13:13" x14ac:dyDescent="0.35">
      <c r="M3732" s="11"/>
    </row>
    <row r="3733" spans="13:13" x14ac:dyDescent="0.35">
      <c r="M3733" s="11"/>
    </row>
    <row r="3734" spans="13:13" x14ac:dyDescent="0.35">
      <c r="M3734" s="11"/>
    </row>
    <row r="3735" spans="13:13" x14ac:dyDescent="0.35">
      <c r="M3735" s="11"/>
    </row>
    <row r="3736" spans="13:13" x14ac:dyDescent="0.35">
      <c r="M3736" s="11"/>
    </row>
    <row r="3737" spans="13:13" x14ac:dyDescent="0.35">
      <c r="M3737" s="11"/>
    </row>
    <row r="3738" spans="13:13" x14ac:dyDescent="0.35">
      <c r="M3738" s="11"/>
    </row>
    <row r="3739" spans="13:13" x14ac:dyDescent="0.35">
      <c r="M3739" s="11"/>
    </row>
    <row r="3740" spans="13:13" x14ac:dyDescent="0.35">
      <c r="M3740" s="11"/>
    </row>
    <row r="3741" spans="13:13" x14ac:dyDescent="0.35">
      <c r="M3741" s="11"/>
    </row>
    <row r="3742" spans="13:13" x14ac:dyDescent="0.35">
      <c r="M3742" s="11"/>
    </row>
    <row r="3743" spans="13:13" x14ac:dyDescent="0.35">
      <c r="M3743" s="11"/>
    </row>
    <row r="3744" spans="13:13" x14ac:dyDescent="0.35">
      <c r="M3744" s="11"/>
    </row>
    <row r="3745" spans="13:13" x14ac:dyDescent="0.35">
      <c r="M3745" s="11"/>
    </row>
    <row r="3746" spans="13:13" x14ac:dyDescent="0.35">
      <c r="M3746" s="11"/>
    </row>
    <row r="3747" spans="13:13" x14ac:dyDescent="0.35">
      <c r="M3747" s="11"/>
    </row>
    <row r="3748" spans="13:13" x14ac:dyDescent="0.35">
      <c r="M3748" s="11"/>
    </row>
    <row r="3749" spans="13:13" x14ac:dyDescent="0.35">
      <c r="M3749" s="11"/>
    </row>
    <row r="3750" spans="13:13" x14ac:dyDescent="0.35">
      <c r="M3750" s="11"/>
    </row>
    <row r="3751" spans="13:13" x14ac:dyDescent="0.35">
      <c r="M3751" s="11"/>
    </row>
    <row r="3752" spans="13:13" x14ac:dyDescent="0.35">
      <c r="M3752" s="11"/>
    </row>
    <row r="3753" spans="13:13" x14ac:dyDescent="0.35">
      <c r="M3753" s="11"/>
    </row>
    <row r="3754" spans="13:13" x14ac:dyDescent="0.35">
      <c r="M3754" s="11"/>
    </row>
    <row r="3755" spans="13:13" x14ac:dyDescent="0.35">
      <c r="M3755" s="11"/>
    </row>
    <row r="3756" spans="13:13" x14ac:dyDescent="0.35">
      <c r="M3756" s="11"/>
    </row>
    <row r="3757" spans="13:13" x14ac:dyDescent="0.35">
      <c r="M3757" s="11"/>
    </row>
    <row r="3758" spans="13:13" x14ac:dyDescent="0.35">
      <c r="M3758" s="11"/>
    </row>
    <row r="3759" spans="13:13" x14ac:dyDescent="0.35">
      <c r="M3759" s="11"/>
    </row>
    <row r="3760" spans="13:13" x14ac:dyDescent="0.35">
      <c r="M3760" s="11"/>
    </row>
    <row r="3761" spans="13:13" x14ac:dyDescent="0.35">
      <c r="M3761" s="11"/>
    </row>
    <row r="3762" spans="13:13" x14ac:dyDescent="0.35">
      <c r="M3762" s="11"/>
    </row>
    <row r="3763" spans="13:13" x14ac:dyDescent="0.35">
      <c r="M3763" s="11"/>
    </row>
    <row r="3764" spans="13:13" x14ac:dyDescent="0.35">
      <c r="M3764" s="11"/>
    </row>
    <row r="3765" spans="13:13" x14ac:dyDescent="0.35">
      <c r="M3765" s="11"/>
    </row>
    <row r="3766" spans="13:13" x14ac:dyDescent="0.35">
      <c r="M3766" s="11"/>
    </row>
    <row r="3767" spans="13:13" x14ac:dyDescent="0.35">
      <c r="M3767" s="11"/>
    </row>
    <row r="3768" spans="13:13" x14ac:dyDescent="0.35">
      <c r="M3768" s="11"/>
    </row>
    <row r="3769" spans="13:13" x14ac:dyDescent="0.35">
      <c r="M3769" s="11"/>
    </row>
    <row r="3770" spans="13:13" x14ac:dyDescent="0.35">
      <c r="M3770" s="11"/>
    </row>
    <row r="3771" spans="13:13" x14ac:dyDescent="0.35">
      <c r="M3771" s="11"/>
    </row>
    <row r="3772" spans="13:13" x14ac:dyDescent="0.35">
      <c r="M3772" s="11"/>
    </row>
    <row r="3773" spans="13:13" x14ac:dyDescent="0.35">
      <c r="M3773" s="11"/>
    </row>
    <row r="3774" spans="13:13" x14ac:dyDescent="0.35">
      <c r="M3774" s="11"/>
    </row>
    <row r="3775" spans="13:13" x14ac:dyDescent="0.35">
      <c r="M3775" s="11"/>
    </row>
    <row r="3776" spans="13:13" x14ac:dyDescent="0.35">
      <c r="M3776" s="11"/>
    </row>
    <row r="3777" spans="13:13" x14ac:dyDescent="0.35">
      <c r="M3777" s="11"/>
    </row>
    <row r="3778" spans="13:13" x14ac:dyDescent="0.35">
      <c r="M3778" s="11"/>
    </row>
    <row r="3779" spans="13:13" x14ac:dyDescent="0.35">
      <c r="M3779" s="11"/>
    </row>
    <row r="3780" spans="13:13" x14ac:dyDescent="0.35">
      <c r="M3780" s="11"/>
    </row>
    <row r="3781" spans="13:13" x14ac:dyDescent="0.35">
      <c r="M3781" s="11"/>
    </row>
    <row r="3782" spans="13:13" x14ac:dyDescent="0.35">
      <c r="M3782" s="11"/>
    </row>
    <row r="3783" spans="13:13" x14ac:dyDescent="0.35">
      <c r="M3783" s="11"/>
    </row>
    <row r="3784" spans="13:13" x14ac:dyDescent="0.35">
      <c r="M3784" s="11"/>
    </row>
    <row r="3785" spans="13:13" x14ac:dyDescent="0.35">
      <c r="M3785" s="11"/>
    </row>
    <row r="3786" spans="13:13" x14ac:dyDescent="0.35">
      <c r="M3786" s="11"/>
    </row>
    <row r="3787" spans="13:13" x14ac:dyDescent="0.35">
      <c r="M3787" s="11"/>
    </row>
    <row r="3788" spans="13:13" x14ac:dyDescent="0.35">
      <c r="M3788" s="11"/>
    </row>
    <row r="3789" spans="13:13" x14ac:dyDescent="0.35">
      <c r="M3789" s="11"/>
    </row>
    <row r="3790" spans="13:13" x14ac:dyDescent="0.35">
      <c r="M3790" s="11"/>
    </row>
    <row r="3791" spans="13:13" x14ac:dyDescent="0.35">
      <c r="M3791" s="11"/>
    </row>
    <row r="3792" spans="13:13" x14ac:dyDescent="0.35">
      <c r="M3792" s="11"/>
    </row>
    <row r="3793" spans="13:13" x14ac:dyDescent="0.35">
      <c r="M3793" s="11"/>
    </row>
    <row r="3794" spans="13:13" x14ac:dyDescent="0.35">
      <c r="M3794" s="11"/>
    </row>
    <row r="3795" spans="13:13" x14ac:dyDescent="0.35">
      <c r="M3795" s="11"/>
    </row>
    <row r="3796" spans="13:13" x14ac:dyDescent="0.35">
      <c r="M3796" s="11"/>
    </row>
    <row r="3797" spans="13:13" x14ac:dyDescent="0.35">
      <c r="M3797" s="11"/>
    </row>
    <row r="3798" spans="13:13" x14ac:dyDescent="0.35">
      <c r="M3798" s="11"/>
    </row>
    <row r="3799" spans="13:13" x14ac:dyDescent="0.35">
      <c r="M3799" s="11"/>
    </row>
    <row r="3800" spans="13:13" x14ac:dyDescent="0.35">
      <c r="M3800" s="11"/>
    </row>
    <row r="3801" spans="13:13" x14ac:dyDescent="0.35">
      <c r="M3801" s="11"/>
    </row>
    <row r="3802" spans="13:13" x14ac:dyDescent="0.35">
      <c r="M3802" s="11"/>
    </row>
    <row r="3803" spans="13:13" x14ac:dyDescent="0.35">
      <c r="M3803" s="11"/>
    </row>
    <row r="3804" spans="13:13" x14ac:dyDescent="0.35">
      <c r="M3804" s="11"/>
    </row>
    <row r="3805" spans="13:13" x14ac:dyDescent="0.35">
      <c r="M3805" s="11"/>
    </row>
    <row r="3806" spans="13:13" x14ac:dyDescent="0.35">
      <c r="M3806" s="11"/>
    </row>
    <row r="3807" spans="13:13" x14ac:dyDescent="0.35">
      <c r="M3807" s="11"/>
    </row>
    <row r="3808" spans="13:13" x14ac:dyDescent="0.35">
      <c r="M3808" s="11"/>
    </row>
    <row r="3809" spans="13:13" x14ac:dyDescent="0.35">
      <c r="M3809" s="11"/>
    </row>
    <row r="3810" spans="13:13" x14ac:dyDescent="0.35">
      <c r="M3810" s="11"/>
    </row>
    <row r="3811" spans="13:13" x14ac:dyDescent="0.35">
      <c r="M3811" s="11"/>
    </row>
    <row r="3812" spans="13:13" x14ac:dyDescent="0.35">
      <c r="M3812" s="11"/>
    </row>
    <row r="3813" spans="13:13" x14ac:dyDescent="0.35">
      <c r="M3813" s="11"/>
    </row>
    <row r="3814" spans="13:13" x14ac:dyDescent="0.35">
      <c r="M3814" s="11"/>
    </row>
    <row r="3815" spans="13:13" x14ac:dyDescent="0.35">
      <c r="M3815" s="11"/>
    </row>
    <row r="3816" spans="13:13" x14ac:dyDescent="0.35">
      <c r="M3816" s="11"/>
    </row>
    <row r="3817" spans="13:13" x14ac:dyDescent="0.35">
      <c r="M3817" s="11"/>
    </row>
    <row r="3818" spans="13:13" x14ac:dyDescent="0.35">
      <c r="M3818" s="11"/>
    </row>
    <row r="3819" spans="13:13" x14ac:dyDescent="0.35">
      <c r="M3819" s="11"/>
    </row>
    <row r="3820" spans="13:13" x14ac:dyDescent="0.35">
      <c r="M3820" s="11"/>
    </row>
    <row r="3821" spans="13:13" x14ac:dyDescent="0.35">
      <c r="M3821" s="11"/>
    </row>
    <row r="3822" spans="13:13" x14ac:dyDescent="0.35">
      <c r="M3822" s="11"/>
    </row>
    <row r="3823" spans="13:13" x14ac:dyDescent="0.35">
      <c r="M3823" s="11"/>
    </row>
    <row r="3824" spans="13:13" x14ac:dyDescent="0.35">
      <c r="M3824" s="11"/>
    </row>
    <row r="3825" spans="13:13" x14ac:dyDescent="0.35">
      <c r="M3825" s="11"/>
    </row>
    <row r="3826" spans="13:13" x14ac:dyDescent="0.35">
      <c r="M3826" s="11"/>
    </row>
    <row r="3827" spans="13:13" x14ac:dyDescent="0.35">
      <c r="M3827" s="11"/>
    </row>
    <row r="3828" spans="13:13" x14ac:dyDescent="0.35">
      <c r="M3828" s="11"/>
    </row>
    <row r="3829" spans="13:13" x14ac:dyDescent="0.35">
      <c r="M3829" s="11"/>
    </row>
    <row r="3830" spans="13:13" x14ac:dyDescent="0.35">
      <c r="M3830" s="11"/>
    </row>
    <row r="3831" spans="13:13" x14ac:dyDescent="0.35">
      <c r="M3831" s="11"/>
    </row>
    <row r="3832" spans="13:13" x14ac:dyDescent="0.35">
      <c r="M3832" s="11"/>
    </row>
    <row r="3833" spans="13:13" x14ac:dyDescent="0.35">
      <c r="M3833" s="11"/>
    </row>
    <row r="3834" spans="13:13" x14ac:dyDescent="0.35">
      <c r="M3834" s="11"/>
    </row>
    <row r="3835" spans="13:13" x14ac:dyDescent="0.35">
      <c r="M3835" s="11"/>
    </row>
    <row r="3836" spans="13:13" x14ac:dyDescent="0.35">
      <c r="M3836" s="11"/>
    </row>
    <row r="3837" spans="13:13" x14ac:dyDescent="0.35">
      <c r="M3837" s="11"/>
    </row>
    <row r="3838" spans="13:13" x14ac:dyDescent="0.35">
      <c r="M3838" s="11"/>
    </row>
    <row r="3839" spans="13:13" x14ac:dyDescent="0.35">
      <c r="M3839" s="11"/>
    </row>
    <row r="3840" spans="13:13" x14ac:dyDescent="0.35">
      <c r="M3840" s="11"/>
    </row>
    <row r="3841" spans="13:13" x14ac:dyDescent="0.35">
      <c r="M3841" s="11"/>
    </row>
    <row r="3842" spans="13:13" x14ac:dyDescent="0.35">
      <c r="M3842" s="11"/>
    </row>
    <row r="3843" spans="13:13" x14ac:dyDescent="0.35">
      <c r="M3843" s="11"/>
    </row>
    <row r="3844" spans="13:13" x14ac:dyDescent="0.35">
      <c r="M3844" s="11"/>
    </row>
    <row r="3845" spans="13:13" x14ac:dyDescent="0.35">
      <c r="M3845" s="11"/>
    </row>
    <row r="3846" spans="13:13" x14ac:dyDescent="0.35">
      <c r="M3846" s="11"/>
    </row>
    <row r="3847" spans="13:13" x14ac:dyDescent="0.35">
      <c r="M3847" s="11"/>
    </row>
    <row r="3848" spans="13:13" x14ac:dyDescent="0.35">
      <c r="M3848" s="11"/>
    </row>
    <row r="3849" spans="13:13" x14ac:dyDescent="0.35">
      <c r="M3849" s="11"/>
    </row>
    <row r="3850" spans="13:13" x14ac:dyDescent="0.35">
      <c r="M3850" s="11"/>
    </row>
    <row r="3851" spans="13:13" x14ac:dyDescent="0.35">
      <c r="M3851" s="11"/>
    </row>
    <row r="3852" spans="13:13" x14ac:dyDescent="0.35">
      <c r="M3852" s="11"/>
    </row>
    <row r="3853" spans="13:13" x14ac:dyDescent="0.35">
      <c r="M3853" s="11"/>
    </row>
    <row r="3854" spans="13:13" x14ac:dyDescent="0.35">
      <c r="M3854" s="11"/>
    </row>
    <row r="3855" spans="13:13" x14ac:dyDescent="0.35">
      <c r="M3855" s="11"/>
    </row>
    <row r="3856" spans="13:13" x14ac:dyDescent="0.35">
      <c r="M3856" s="11"/>
    </row>
    <row r="3857" spans="13:13" x14ac:dyDescent="0.35">
      <c r="M3857" s="11"/>
    </row>
    <row r="3858" spans="13:13" x14ac:dyDescent="0.35">
      <c r="M3858" s="11"/>
    </row>
    <row r="3859" spans="13:13" x14ac:dyDescent="0.35">
      <c r="M3859" s="11"/>
    </row>
    <row r="3860" spans="13:13" x14ac:dyDescent="0.35">
      <c r="M3860" s="11"/>
    </row>
    <row r="3861" spans="13:13" x14ac:dyDescent="0.35">
      <c r="M3861" s="11"/>
    </row>
    <row r="3862" spans="13:13" x14ac:dyDescent="0.35">
      <c r="M3862" s="11"/>
    </row>
    <row r="3863" spans="13:13" x14ac:dyDescent="0.35">
      <c r="M3863" s="11"/>
    </row>
    <row r="3864" spans="13:13" x14ac:dyDescent="0.35">
      <c r="M3864" s="11"/>
    </row>
    <row r="3865" spans="13:13" x14ac:dyDescent="0.35">
      <c r="M3865" s="11"/>
    </row>
    <row r="3866" spans="13:13" x14ac:dyDescent="0.35">
      <c r="M3866" s="11"/>
    </row>
    <row r="3867" spans="13:13" x14ac:dyDescent="0.35">
      <c r="M3867" s="11"/>
    </row>
    <row r="3868" spans="13:13" x14ac:dyDescent="0.35">
      <c r="M3868" s="11"/>
    </row>
    <row r="3869" spans="13:13" x14ac:dyDescent="0.35">
      <c r="M3869" s="11"/>
    </row>
    <row r="3870" spans="13:13" x14ac:dyDescent="0.35">
      <c r="M3870" s="11"/>
    </row>
    <row r="3871" spans="13:13" x14ac:dyDescent="0.35">
      <c r="M3871" s="11"/>
    </row>
    <row r="3872" spans="13:13" x14ac:dyDescent="0.35">
      <c r="M3872" s="11"/>
    </row>
    <row r="3873" spans="13:13" x14ac:dyDescent="0.35">
      <c r="M3873" s="11"/>
    </row>
    <row r="3874" spans="13:13" x14ac:dyDescent="0.35">
      <c r="M3874" s="11"/>
    </row>
    <row r="3875" spans="13:13" x14ac:dyDescent="0.35">
      <c r="M3875" s="11"/>
    </row>
    <row r="3876" spans="13:13" x14ac:dyDescent="0.35">
      <c r="M3876" s="11"/>
    </row>
    <row r="3877" spans="13:13" x14ac:dyDescent="0.35">
      <c r="M3877" s="11"/>
    </row>
    <row r="3878" spans="13:13" x14ac:dyDescent="0.35">
      <c r="M3878" s="11"/>
    </row>
    <row r="3879" spans="13:13" x14ac:dyDescent="0.35">
      <c r="M3879" s="11"/>
    </row>
    <row r="3880" spans="13:13" x14ac:dyDescent="0.35">
      <c r="M3880" s="11"/>
    </row>
    <row r="3881" spans="13:13" x14ac:dyDescent="0.35">
      <c r="M3881" s="11"/>
    </row>
    <row r="3882" spans="13:13" x14ac:dyDescent="0.35">
      <c r="M3882" s="11"/>
    </row>
    <row r="3883" spans="13:13" x14ac:dyDescent="0.35">
      <c r="M3883" s="11"/>
    </row>
    <row r="3884" spans="13:13" x14ac:dyDescent="0.35">
      <c r="M3884" s="11"/>
    </row>
    <row r="3885" spans="13:13" x14ac:dyDescent="0.35">
      <c r="M3885" s="11"/>
    </row>
    <row r="3886" spans="13:13" x14ac:dyDescent="0.35">
      <c r="M3886" s="11"/>
    </row>
    <row r="3887" spans="13:13" x14ac:dyDescent="0.35">
      <c r="M3887" s="11"/>
    </row>
    <row r="3888" spans="13:13" x14ac:dyDescent="0.35">
      <c r="M3888" s="11"/>
    </row>
    <row r="3889" spans="13:13" x14ac:dyDescent="0.35">
      <c r="M3889" s="11"/>
    </row>
    <row r="3890" spans="13:13" x14ac:dyDescent="0.35">
      <c r="M3890" s="11"/>
    </row>
    <row r="3891" spans="13:13" x14ac:dyDescent="0.35">
      <c r="M3891" s="11"/>
    </row>
    <row r="3892" spans="13:13" x14ac:dyDescent="0.35">
      <c r="M3892" s="11"/>
    </row>
    <row r="3893" spans="13:13" x14ac:dyDescent="0.35">
      <c r="M3893" s="11"/>
    </row>
    <row r="3894" spans="13:13" x14ac:dyDescent="0.35">
      <c r="M3894" s="11"/>
    </row>
    <row r="3895" spans="13:13" x14ac:dyDescent="0.35">
      <c r="M3895" s="11"/>
    </row>
    <row r="3896" spans="13:13" x14ac:dyDescent="0.35">
      <c r="M3896" s="11"/>
    </row>
    <row r="3897" spans="13:13" x14ac:dyDescent="0.35">
      <c r="M3897" s="11"/>
    </row>
    <row r="3898" spans="13:13" x14ac:dyDescent="0.35">
      <c r="M3898" s="11"/>
    </row>
    <row r="3899" spans="13:13" x14ac:dyDescent="0.35">
      <c r="M3899" s="11"/>
    </row>
    <row r="3900" spans="13:13" x14ac:dyDescent="0.35">
      <c r="M3900" s="11"/>
    </row>
    <row r="3901" spans="13:13" x14ac:dyDescent="0.35">
      <c r="M3901" s="11"/>
    </row>
    <row r="3902" spans="13:13" x14ac:dyDescent="0.35">
      <c r="M3902" s="11"/>
    </row>
    <row r="3903" spans="13:13" x14ac:dyDescent="0.35">
      <c r="M3903" s="11"/>
    </row>
    <row r="3904" spans="13:13" x14ac:dyDescent="0.35">
      <c r="M3904" s="11"/>
    </row>
    <row r="3905" spans="13:13" x14ac:dyDescent="0.35">
      <c r="M3905" s="11"/>
    </row>
    <row r="3906" spans="13:13" x14ac:dyDescent="0.35">
      <c r="M3906" s="11"/>
    </row>
    <row r="3907" spans="13:13" x14ac:dyDescent="0.35">
      <c r="M3907" s="11"/>
    </row>
    <row r="3908" spans="13:13" x14ac:dyDescent="0.35">
      <c r="M3908" s="11"/>
    </row>
    <row r="3909" spans="13:13" x14ac:dyDescent="0.35">
      <c r="M3909" s="11"/>
    </row>
    <row r="3910" spans="13:13" x14ac:dyDescent="0.35">
      <c r="M3910" s="11"/>
    </row>
    <row r="3911" spans="13:13" x14ac:dyDescent="0.35">
      <c r="M3911" s="11"/>
    </row>
    <row r="3912" spans="13:13" x14ac:dyDescent="0.35">
      <c r="M3912" s="11"/>
    </row>
    <row r="3913" spans="13:13" x14ac:dyDescent="0.35">
      <c r="M3913" s="11"/>
    </row>
    <row r="3914" spans="13:13" x14ac:dyDescent="0.35">
      <c r="M3914" s="11"/>
    </row>
    <row r="3915" spans="13:13" x14ac:dyDescent="0.35">
      <c r="M3915" s="11"/>
    </row>
    <row r="3916" spans="13:13" x14ac:dyDescent="0.35">
      <c r="M3916" s="11"/>
    </row>
    <row r="3917" spans="13:13" x14ac:dyDescent="0.35">
      <c r="M3917" s="11"/>
    </row>
    <row r="3918" spans="13:13" x14ac:dyDescent="0.35">
      <c r="M3918" s="11"/>
    </row>
    <row r="3919" spans="13:13" x14ac:dyDescent="0.35">
      <c r="M3919" s="11"/>
    </row>
    <row r="3920" spans="13:13" x14ac:dyDescent="0.35">
      <c r="M3920" s="11"/>
    </row>
    <row r="3921" spans="13:13" x14ac:dyDescent="0.35">
      <c r="M3921" s="11"/>
    </row>
    <row r="3922" spans="13:13" x14ac:dyDescent="0.35">
      <c r="M3922" s="11"/>
    </row>
    <row r="3923" spans="13:13" x14ac:dyDescent="0.35">
      <c r="M3923" s="11"/>
    </row>
    <row r="3924" spans="13:13" x14ac:dyDescent="0.35">
      <c r="M3924" s="11"/>
    </row>
    <row r="3925" spans="13:13" x14ac:dyDescent="0.35">
      <c r="M3925" s="11"/>
    </row>
    <row r="3926" spans="13:13" x14ac:dyDescent="0.35">
      <c r="M3926" s="11"/>
    </row>
    <row r="3927" spans="13:13" x14ac:dyDescent="0.35">
      <c r="M3927" s="11"/>
    </row>
    <row r="3928" spans="13:13" x14ac:dyDescent="0.35">
      <c r="M3928" s="11"/>
    </row>
    <row r="3929" spans="13:13" x14ac:dyDescent="0.35">
      <c r="M3929" s="11"/>
    </row>
    <row r="3930" spans="13:13" x14ac:dyDescent="0.35">
      <c r="M3930" s="11"/>
    </row>
    <row r="3931" spans="13:13" x14ac:dyDescent="0.35">
      <c r="M3931" s="11"/>
    </row>
    <row r="3932" spans="13:13" x14ac:dyDescent="0.35">
      <c r="M3932" s="11"/>
    </row>
    <row r="3933" spans="13:13" x14ac:dyDescent="0.35">
      <c r="M3933" s="11"/>
    </row>
    <row r="3934" spans="13:13" x14ac:dyDescent="0.35">
      <c r="M3934" s="11"/>
    </row>
    <row r="3935" spans="13:13" x14ac:dyDescent="0.35">
      <c r="M3935" s="11"/>
    </row>
    <row r="3936" spans="13:13" x14ac:dyDescent="0.35">
      <c r="M3936" s="11"/>
    </row>
    <row r="3937" spans="13:13" x14ac:dyDescent="0.35">
      <c r="M3937" s="11"/>
    </row>
    <row r="3938" spans="13:13" x14ac:dyDescent="0.35">
      <c r="M3938" s="11"/>
    </row>
    <row r="3939" spans="13:13" x14ac:dyDescent="0.35">
      <c r="M3939" s="11"/>
    </row>
    <row r="3940" spans="13:13" x14ac:dyDescent="0.35">
      <c r="M3940" s="11"/>
    </row>
    <row r="3941" spans="13:13" x14ac:dyDescent="0.35">
      <c r="M3941" s="11"/>
    </row>
    <row r="3942" spans="13:13" x14ac:dyDescent="0.35">
      <c r="M3942" s="11"/>
    </row>
    <row r="3943" spans="13:13" x14ac:dyDescent="0.35">
      <c r="M3943" s="11"/>
    </row>
    <row r="3944" spans="13:13" x14ac:dyDescent="0.35">
      <c r="M3944" s="11"/>
    </row>
    <row r="3945" spans="13:13" x14ac:dyDescent="0.35">
      <c r="M3945" s="11"/>
    </row>
    <row r="3946" spans="13:13" x14ac:dyDescent="0.35">
      <c r="M3946" s="11"/>
    </row>
    <row r="3947" spans="13:13" x14ac:dyDescent="0.35">
      <c r="M3947" s="11"/>
    </row>
    <row r="3948" spans="13:13" x14ac:dyDescent="0.35">
      <c r="M3948" s="11"/>
    </row>
    <row r="3949" spans="13:13" x14ac:dyDescent="0.35">
      <c r="M3949" s="11"/>
    </row>
    <row r="3950" spans="13:13" x14ac:dyDescent="0.35">
      <c r="M3950" s="11"/>
    </row>
    <row r="3951" spans="13:13" x14ac:dyDescent="0.35">
      <c r="M3951" s="11"/>
    </row>
    <row r="3952" spans="13:13" x14ac:dyDescent="0.35">
      <c r="M3952" s="11"/>
    </row>
    <row r="3953" spans="13:13" x14ac:dyDescent="0.35">
      <c r="M3953" s="11"/>
    </row>
    <row r="3954" spans="13:13" x14ac:dyDescent="0.35">
      <c r="M3954" s="11"/>
    </row>
    <row r="3955" spans="13:13" x14ac:dyDescent="0.35">
      <c r="M3955" s="11"/>
    </row>
    <row r="3956" spans="13:13" x14ac:dyDescent="0.35">
      <c r="M3956" s="11"/>
    </row>
    <row r="3957" spans="13:13" x14ac:dyDescent="0.35">
      <c r="M3957" s="11"/>
    </row>
    <row r="3958" spans="13:13" x14ac:dyDescent="0.35">
      <c r="M3958" s="11"/>
    </row>
    <row r="3959" spans="13:13" x14ac:dyDescent="0.35">
      <c r="M3959" s="11"/>
    </row>
    <row r="3960" spans="13:13" x14ac:dyDescent="0.35">
      <c r="M3960" s="11"/>
    </row>
    <row r="3961" spans="13:13" x14ac:dyDescent="0.35">
      <c r="M3961" s="11"/>
    </row>
    <row r="3962" spans="13:13" x14ac:dyDescent="0.35">
      <c r="M3962" s="11"/>
    </row>
    <row r="3963" spans="13:13" x14ac:dyDescent="0.35">
      <c r="M3963" s="11"/>
    </row>
    <row r="3964" spans="13:13" x14ac:dyDescent="0.35">
      <c r="M3964" s="11"/>
    </row>
    <row r="3965" spans="13:13" x14ac:dyDescent="0.35">
      <c r="M3965" s="11"/>
    </row>
    <row r="3966" spans="13:13" x14ac:dyDescent="0.35">
      <c r="M3966" s="11"/>
    </row>
    <row r="3967" spans="13:13" x14ac:dyDescent="0.35">
      <c r="M3967" s="11"/>
    </row>
    <row r="3968" spans="13:13" x14ac:dyDescent="0.35">
      <c r="M3968" s="11"/>
    </row>
    <row r="3969" spans="13:13" x14ac:dyDescent="0.35">
      <c r="M3969" s="11"/>
    </row>
    <row r="3970" spans="13:13" x14ac:dyDescent="0.35">
      <c r="M3970" s="11"/>
    </row>
    <row r="3971" spans="13:13" x14ac:dyDescent="0.35">
      <c r="M3971" s="11"/>
    </row>
    <row r="3972" spans="13:13" x14ac:dyDescent="0.35">
      <c r="M3972" s="11"/>
    </row>
    <row r="3973" spans="13:13" x14ac:dyDescent="0.35">
      <c r="M3973" s="11"/>
    </row>
    <row r="3974" spans="13:13" x14ac:dyDescent="0.35">
      <c r="M3974" s="11"/>
    </row>
    <row r="3975" spans="13:13" x14ac:dyDescent="0.35">
      <c r="M3975" s="11"/>
    </row>
    <row r="3976" spans="13:13" x14ac:dyDescent="0.35">
      <c r="M3976" s="11"/>
    </row>
    <row r="3977" spans="13:13" x14ac:dyDescent="0.35">
      <c r="M3977" s="11"/>
    </row>
    <row r="3978" spans="13:13" x14ac:dyDescent="0.35">
      <c r="M3978" s="11"/>
    </row>
    <row r="3979" spans="13:13" x14ac:dyDescent="0.35">
      <c r="M3979" s="11"/>
    </row>
    <row r="3980" spans="13:13" x14ac:dyDescent="0.35">
      <c r="M3980" s="11"/>
    </row>
    <row r="3981" spans="13:13" x14ac:dyDescent="0.35">
      <c r="M3981" s="11"/>
    </row>
    <row r="3982" spans="13:13" x14ac:dyDescent="0.35">
      <c r="M3982" s="11"/>
    </row>
    <row r="3983" spans="13:13" x14ac:dyDescent="0.35">
      <c r="M3983" s="11"/>
    </row>
    <row r="3984" spans="13:13" x14ac:dyDescent="0.35">
      <c r="M3984" s="11"/>
    </row>
    <row r="3985" spans="13:13" x14ac:dyDescent="0.35">
      <c r="M3985" s="11"/>
    </row>
    <row r="3986" spans="13:13" x14ac:dyDescent="0.35">
      <c r="M3986" s="11"/>
    </row>
    <row r="3987" spans="13:13" x14ac:dyDescent="0.35">
      <c r="M3987" s="11"/>
    </row>
    <row r="3988" spans="13:13" x14ac:dyDescent="0.35">
      <c r="M3988" s="11"/>
    </row>
    <row r="3989" spans="13:13" x14ac:dyDescent="0.35">
      <c r="M3989" s="11"/>
    </row>
    <row r="3990" spans="13:13" x14ac:dyDescent="0.35">
      <c r="M3990" s="11"/>
    </row>
    <row r="3991" spans="13:13" x14ac:dyDescent="0.35">
      <c r="M3991" s="11"/>
    </row>
    <row r="3992" spans="13:13" x14ac:dyDescent="0.35">
      <c r="M3992" s="11"/>
    </row>
    <row r="3993" spans="13:13" x14ac:dyDescent="0.35">
      <c r="M3993" s="11"/>
    </row>
    <row r="3994" spans="13:13" x14ac:dyDescent="0.35">
      <c r="M3994" s="11"/>
    </row>
    <row r="3995" spans="13:13" x14ac:dyDescent="0.35">
      <c r="M3995" s="11"/>
    </row>
    <row r="3996" spans="13:13" x14ac:dyDescent="0.35">
      <c r="M3996" s="11"/>
    </row>
    <row r="3997" spans="13:13" x14ac:dyDescent="0.35">
      <c r="M3997" s="11"/>
    </row>
    <row r="3998" spans="13:13" x14ac:dyDescent="0.35">
      <c r="M3998" s="11"/>
    </row>
    <row r="3999" spans="13:13" x14ac:dyDescent="0.35">
      <c r="M3999" s="11"/>
    </row>
    <row r="4000" spans="13:13" x14ac:dyDescent="0.35">
      <c r="M4000" s="11"/>
    </row>
    <row r="4001" spans="13:13" x14ac:dyDescent="0.35">
      <c r="M4001" s="11"/>
    </row>
    <row r="4002" spans="13:13" x14ac:dyDescent="0.35">
      <c r="M4002" s="11"/>
    </row>
    <row r="4003" spans="13:13" x14ac:dyDescent="0.35">
      <c r="M4003" s="11"/>
    </row>
    <row r="4004" spans="13:13" x14ac:dyDescent="0.35">
      <c r="M4004" s="11"/>
    </row>
    <row r="4005" spans="13:13" x14ac:dyDescent="0.35">
      <c r="M4005" s="11"/>
    </row>
    <row r="4006" spans="13:13" x14ac:dyDescent="0.35">
      <c r="M4006" s="11"/>
    </row>
    <row r="4007" spans="13:13" x14ac:dyDescent="0.35">
      <c r="M4007" s="11"/>
    </row>
    <row r="4008" spans="13:13" x14ac:dyDescent="0.35">
      <c r="M4008" s="11"/>
    </row>
    <row r="4009" spans="13:13" x14ac:dyDescent="0.35">
      <c r="M4009" s="11"/>
    </row>
    <row r="4010" spans="13:13" x14ac:dyDescent="0.35">
      <c r="M4010" s="11"/>
    </row>
    <row r="4011" spans="13:13" x14ac:dyDescent="0.35">
      <c r="M4011" s="11"/>
    </row>
    <row r="4012" spans="13:13" x14ac:dyDescent="0.35">
      <c r="M4012" s="11"/>
    </row>
    <row r="4013" spans="13:13" x14ac:dyDescent="0.35">
      <c r="M4013" s="11"/>
    </row>
    <row r="4014" spans="13:13" x14ac:dyDescent="0.35">
      <c r="M4014" s="11"/>
    </row>
    <row r="4015" spans="13:13" x14ac:dyDescent="0.35">
      <c r="M4015" s="11"/>
    </row>
    <row r="4016" spans="13:13" x14ac:dyDescent="0.35">
      <c r="M4016" s="11"/>
    </row>
    <row r="4017" spans="13:13" x14ac:dyDescent="0.35">
      <c r="M4017" s="11"/>
    </row>
    <row r="4018" spans="13:13" x14ac:dyDescent="0.35">
      <c r="M4018" s="11"/>
    </row>
    <row r="4019" spans="13:13" x14ac:dyDescent="0.35">
      <c r="M4019" s="11"/>
    </row>
    <row r="4020" spans="13:13" x14ac:dyDescent="0.35">
      <c r="M4020" s="11"/>
    </row>
    <row r="4021" spans="13:13" x14ac:dyDescent="0.35">
      <c r="M4021" s="11"/>
    </row>
    <row r="4022" spans="13:13" x14ac:dyDescent="0.35">
      <c r="M4022" s="11"/>
    </row>
    <row r="4023" spans="13:13" x14ac:dyDescent="0.35">
      <c r="M4023" s="11"/>
    </row>
    <row r="4024" spans="13:13" x14ac:dyDescent="0.35">
      <c r="M4024" s="11"/>
    </row>
    <row r="4025" spans="13:13" x14ac:dyDescent="0.35">
      <c r="M4025" s="11"/>
    </row>
    <row r="4026" spans="13:13" x14ac:dyDescent="0.35">
      <c r="M4026" s="11"/>
    </row>
    <row r="4027" spans="13:13" x14ac:dyDescent="0.35">
      <c r="M4027" s="11"/>
    </row>
    <row r="4028" spans="13:13" x14ac:dyDescent="0.35">
      <c r="M4028" s="11"/>
    </row>
    <row r="4029" spans="13:13" x14ac:dyDescent="0.35">
      <c r="M4029" s="11"/>
    </row>
    <row r="4030" spans="13:13" x14ac:dyDescent="0.35">
      <c r="M4030" s="11"/>
    </row>
    <row r="4031" spans="13:13" x14ac:dyDescent="0.35">
      <c r="M4031" s="11"/>
    </row>
    <row r="4032" spans="13:13" x14ac:dyDescent="0.35">
      <c r="M4032" s="11"/>
    </row>
    <row r="4033" spans="13:13" x14ac:dyDescent="0.35">
      <c r="M4033" s="11"/>
    </row>
    <row r="4034" spans="13:13" x14ac:dyDescent="0.35">
      <c r="M4034" s="11"/>
    </row>
    <row r="4035" spans="13:13" x14ac:dyDescent="0.35">
      <c r="M4035" s="11"/>
    </row>
    <row r="4036" spans="13:13" x14ac:dyDescent="0.35">
      <c r="M4036" s="11"/>
    </row>
    <row r="4037" spans="13:13" x14ac:dyDescent="0.35">
      <c r="M4037" s="11"/>
    </row>
    <row r="4038" spans="13:13" x14ac:dyDescent="0.35">
      <c r="M4038" s="11"/>
    </row>
    <row r="4039" spans="13:13" x14ac:dyDescent="0.35">
      <c r="M4039" s="11"/>
    </row>
    <row r="4040" spans="13:13" x14ac:dyDescent="0.35">
      <c r="M4040" s="11"/>
    </row>
    <row r="4041" spans="13:13" x14ac:dyDescent="0.35">
      <c r="M4041" s="11"/>
    </row>
    <row r="4042" spans="13:13" x14ac:dyDescent="0.35">
      <c r="M4042" s="11"/>
    </row>
    <row r="4043" spans="13:13" x14ac:dyDescent="0.35">
      <c r="M4043" s="11"/>
    </row>
    <row r="4044" spans="13:13" x14ac:dyDescent="0.35">
      <c r="M4044" s="11"/>
    </row>
    <row r="4045" spans="13:13" x14ac:dyDescent="0.35">
      <c r="M4045" s="11"/>
    </row>
    <row r="4046" spans="13:13" x14ac:dyDescent="0.35">
      <c r="M4046" s="11"/>
    </row>
    <row r="4047" spans="13:13" x14ac:dyDescent="0.35">
      <c r="M4047" s="11"/>
    </row>
    <row r="4048" spans="13:13" x14ac:dyDescent="0.35">
      <c r="M4048" s="11"/>
    </row>
    <row r="4049" spans="13:13" x14ac:dyDescent="0.35">
      <c r="M4049" s="11"/>
    </row>
    <row r="4050" spans="13:13" x14ac:dyDescent="0.35">
      <c r="M4050" s="11"/>
    </row>
    <row r="4051" spans="13:13" x14ac:dyDescent="0.35">
      <c r="M4051" s="11"/>
    </row>
    <row r="4052" spans="13:13" x14ac:dyDescent="0.35">
      <c r="M4052" s="11"/>
    </row>
    <row r="4053" spans="13:13" x14ac:dyDescent="0.35">
      <c r="M4053" s="11"/>
    </row>
    <row r="4054" spans="13:13" x14ac:dyDescent="0.35">
      <c r="M4054" s="11"/>
    </row>
    <row r="4055" spans="13:13" x14ac:dyDescent="0.35">
      <c r="M4055" s="11"/>
    </row>
    <row r="4056" spans="13:13" x14ac:dyDescent="0.35">
      <c r="M4056" s="11"/>
    </row>
    <row r="4057" spans="13:13" x14ac:dyDescent="0.35">
      <c r="M4057" s="11"/>
    </row>
    <row r="4058" spans="13:13" x14ac:dyDescent="0.35">
      <c r="M4058" s="11"/>
    </row>
    <row r="4059" spans="13:13" x14ac:dyDescent="0.35">
      <c r="M4059" s="11"/>
    </row>
    <row r="4060" spans="13:13" x14ac:dyDescent="0.35">
      <c r="M4060" s="11"/>
    </row>
    <row r="4061" spans="13:13" x14ac:dyDescent="0.35">
      <c r="M4061" s="11"/>
    </row>
    <row r="4062" spans="13:13" x14ac:dyDescent="0.35">
      <c r="M4062" s="11"/>
    </row>
    <row r="4063" spans="13:13" x14ac:dyDescent="0.35">
      <c r="M4063" s="11"/>
    </row>
    <row r="4064" spans="13:13" x14ac:dyDescent="0.35">
      <c r="M4064" s="11"/>
    </row>
    <row r="4065" spans="13:13" x14ac:dyDescent="0.35">
      <c r="M4065" s="11"/>
    </row>
    <row r="4066" spans="13:13" x14ac:dyDescent="0.35">
      <c r="M4066" s="11"/>
    </row>
    <row r="4067" spans="13:13" x14ac:dyDescent="0.35">
      <c r="M4067" s="11"/>
    </row>
    <row r="4068" spans="13:13" x14ac:dyDescent="0.35">
      <c r="M4068" s="11"/>
    </row>
    <row r="4069" spans="13:13" x14ac:dyDescent="0.35">
      <c r="M4069" s="11"/>
    </row>
    <row r="4070" spans="13:13" x14ac:dyDescent="0.35">
      <c r="M4070" s="11"/>
    </row>
    <row r="4071" spans="13:13" x14ac:dyDescent="0.35">
      <c r="M4071" s="11"/>
    </row>
    <row r="4072" spans="13:13" x14ac:dyDescent="0.35">
      <c r="M4072" s="11"/>
    </row>
    <row r="4073" spans="13:13" x14ac:dyDescent="0.35">
      <c r="M4073" s="11"/>
    </row>
    <row r="4074" spans="13:13" x14ac:dyDescent="0.35">
      <c r="M4074" s="11"/>
    </row>
    <row r="4075" spans="13:13" x14ac:dyDescent="0.35">
      <c r="M4075" s="11"/>
    </row>
    <row r="4076" spans="13:13" x14ac:dyDescent="0.35">
      <c r="M4076" s="11"/>
    </row>
    <row r="4077" spans="13:13" x14ac:dyDescent="0.35">
      <c r="M4077" s="11"/>
    </row>
    <row r="4078" spans="13:13" x14ac:dyDescent="0.35">
      <c r="M4078" s="11"/>
    </row>
    <row r="4079" spans="13:13" x14ac:dyDescent="0.35">
      <c r="M4079" s="11"/>
    </row>
    <row r="4080" spans="13:13" x14ac:dyDescent="0.35">
      <c r="M4080" s="11"/>
    </row>
    <row r="4081" spans="13:13" x14ac:dyDescent="0.35">
      <c r="M4081" s="11"/>
    </row>
    <row r="4082" spans="13:13" x14ac:dyDescent="0.35">
      <c r="M4082" s="11"/>
    </row>
    <row r="4083" spans="13:13" x14ac:dyDescent="0.35">
      <c r="M4083" s="11"/>
    </row>
    <row r="4084" spans="13:13" x14ac:dyDescent="0.35">
      <c r="M4084" s="11"/>
    </row>
    <row r="4085" spans="13:13" x14ac:dyDescent="0.35">
      <c r="M4085" s="11"/>
    </row>
    <row r="4086" spans="13:13" x14ac:dyDescent="0.35">
      <c r="M4086" s="11"/>
    </row>
    <row r="4087" spans="13:13" x14ac:dyDescent="0.35">
      <c r="M4087" s="11"/>
    </row>
    <row r="4088" spans="13:13" x14ac:dyDescent="0.35">
      <c r="M4088" s="11"/>
    </row>
    <row r="4089" spans="13:13" x14ac:dyDescent="0.35">
      <c r="M4089" s="11"/>
    </row>
    <row r="4090" spans="13:13" x14ac:dyDescent="0.35">
      <c r="M4090" s="11"/>
    </row>
    <row r="4091" spans="13:13" x14ac:dyDescent="0.35">
      <c r="M4091" s="11"/>
    </row>
    <row r="4092" spans="13:13" x14ac:dyDescent="0.35">
      <c r="M4092" s="11"/>
    </row>
    <row r="4093" spans="13:13" x14ac:dyDescent="0.35">
      <c r="M4093" s="11"/>
    </row>
    <row r="4094" spans="13:13" x14ac:dyDescent="0.35">
      <c r="M4094" s="11"/>
    </row>
    <row r="4095" spans="13:13" x14ac:dyDescent="0.35">
      <c r="M4095" s="11"/>
    </row>
    <row r="4096" spans="13:13" x14ac:dyDescent="0.35">
      <c r="M4096" s="11"/>
    </row>
    <row r="4097" spans="13:13" x14ac:dyDescent="0.35">
      <c r="M4097" s="11"/>
    </row>
    <row r="4098" spans="13:13" x14ac:dyDescent="0.35">
      <c r="M4098" s="11"/>
    </row>
    <row r="4099" spans="13:13" x14ac:dyDescent="0.35">
      <c r="M4099" s="11"/>
    </row>
    <row r="4100" spans="13:13" x14ac:dyDescent="0.35">
      <c r="M4100" s="11"/>
    </row>
    <row r="4101" spans="13:13" x14ac:dyDescent="0.35">
      <c r="M4101" s="11"/>
    </row>
    <row r="4102" spans="13:13" x14ac:dyDescent="0.35">
      <c r="M4102" s="11"/>
    </row>
    <row r="4103" spans="13:13" x14ac:dyDescent="0.35">
      <c r="M4103" s="11"/>
    </row>
    <row r="4104" spans="13:13" x14ac:dyDescent="0.35">
      <c r="M4104" s="11"/>
    </row>
    <row r="4105" spans="13:13" x14ac:dyDescent="0.35">
      <c r="M4105" s="11"/>
    </row>
    <row r="4106" spans="13:13" x14ac:dyDescent="0.35">
      <c r="M4106" s="11"/>
    </row>
    <row r="4107" spans="13:13" x14ac:dyDescent="0.35">
      <c r="M4107" s="11"/>
    </row>
    <row r="4108" spans="13:13" x14ac:dyDescent="0.35">
      <c r="M4108" s="11"/>
    </row>
    <row r="4109" spans="13:13" x14ac:dyDescent="0.35">
      <c r="M4109" s="11"/>
    </row>
    <row r="4110" spans="13:13" x14ac:dyDescent="0.35">
      <c r="M4110" s="11"/>
    </row>
    <row r="4111" spans="13:13" x14ac:dyDescent="0.35">
      <c r="M4111" s="11"/>
    </row>
    <row r="4112" spans="13:13" x14ac:dyDescent="0.35">
      <c r="M4112" s="11"/>
    </row>
    <row r="4113" spans="13:13" x14ac:dyDescent="0.35">
      <c r="M4113" s="11"/>
    </row>
    <row r="4114" spans="13:13" x14ac:dyDescent="0.35">
      <c r="M4114" s="11"/>
    </row>
    <row r="4115" spans="13:13" x14ac:dyDescent="0.35">
      <c r="M4115" s="11"/>
    </row>
    <row r="4116" spans="13:13" x14ac:dyDescent="0.35">
      <c r="M4116" s="11"/>
    </row>
    <row r="4117" spans="13:13" x14ac:dyDescent="0.35">
      <c r="M4117" s="11"/>
    </row>
    <row r="4118" spans="13:13" x14ac:dyDescent="0.35">
      <c r="M4118" s="11"/>
    </row>
    <row r="4119" spans="13:13" x14ac:dyDescent="0.35">
      <c r="M4119" s="11"/>
    </row>
    <row r="4120" spans="13:13" x14ac:dyDescent="0.35">
      <c r="M4120" s="11"/>
    </row>
    <row r="4121" spans="13:13" x14ac:dyDescent="0.35">
      <c r="M4121" s="11"/>
    </row>
    <row r="4122" spans="13:13" x14ac:dyDescent="0.35">
      <c r="M4122" s="11"/>
    </row>
    <row r="4123" spans="13:13" x14ac:dyDescent="0.35">
      <c r="M4123" s="11"/>
    </row>
    <row r="4124" spans="13:13" x14ac:dyDescent="0.35">
      <c r="M4124" s="11"/>
    </row>
    <row r="4125" spans="13:13" x14ac:dyDescent="0.35">
      <c r="M4125" s="11"/>
    </row>
    <row r="4126" spans="13:13" x14ac:dyDescent="0.35">
      <c r="M4126" s="11"/>
    </row>
    <row r="4127" spans="13:13" x14ac:dyDescent="0.35">
      <c r="M4127" s="11"/>
    </row>
    <row r="4128" spans="13:13" x14ac:dyDescent="0.35">
      <c r="M4128" s="11"/>
    </row>
    <row r="4129" spans="13:13" x14ac:dyDescent="0.35">
      <c r="M4129" s="11"/>
    </row>
    <row r="4130" spans="13:13" x14ac:dyDescent="0.35">
      <c r="M4130" s="11"/>
    </row>
    <row r="4131" spans="13:13" x14ac:dyDescent="0.35">
      <c r="M4131" s="11"/>
    </row>
    <row r="4132" spans="13:13" x14ac:dyDescent="0.35">
      <c r="M4132" s="11"/>
    </row>
    <row r="4133" spans="13:13" x14ac:dyDescent="0.35">
      <c r="M4133" s="11"/>
    </row>
    <row r="4134" spans="13:13" x14ac:dyDescent="0.35">
      <c r="M4134" s="11"/>
    </row>
    <row r="4135" spans="13:13" x14ac:dyDescent="0.35">
      <c r="M4135" s="11"/>
    </row>
    <row r="4136" spans="13:13" x14ac:dyDescent="0.35">
      <c r="M4136" s="11"/>
    </row>
    <row r="4137" spans="13:13" x14ac:dyDescent="0.35">
      <c r="M4137" s="11"/>
    </row>
    <row r="4138" spans="13:13" x14ac:dyDescent="0.35">
      <c r="M4138" s="11"/>
    </row>
    <row r="4139" spans="13:13" x14ac:dyDescent="0.35">
      <c r="M4139" s="11"/>
    </row>
    <row r="4140" spans="13:13" x14ac:dyDescent="0.35">
      <c r="M4140" s="11"/>
    </row>
    <row r="4141" spans="13:13" x14ac:dyDescent="0.35">
      <c r="M4141" s="11"/>
    </row>
    <row r="4142" spans="13:13" x14ac:dyDescent="0.35">
      <c r="M4142" s="11"/>
    </row>
    <row r="4143" spans="13:13" x14ac:dyDescent="0.35">
      <c r="M4143" s="11"/>
    </row>
    <row r="4144" spans="13:13" x14ac:dyDescent="0.35">
      <c r="M4144" s="11"/>
    </row>
    <row r="4145" spans="13:13" x14ac:dyDescent="0.35">
      <c r="M4145" s="11"/>
    </row>
    <row r="4146" spans="13:13" x14ac:dyDescent="0.35">
      <c r="M4146" s="11"/>
    </row>
    <row r="4147" spans="13:13" x14ac:dyDescent="0.35">
      <c r="M4147" s="11"/>
    </row>
    <row r="4148" spans="13:13" x14ac:dyDescent="0.35">
      <c r="M4148" s="11"/>
    </row>
    <row r="4149" spans="13:13" x14ac:dyDescent="0.35">
      <c r="M4149" s="11"/>
    </row>
    <row r="4150" spans="13:13" x14ac:dyDescent="0.35">
      <c r="M4150" s="11"/>
    </row>
    <row r="4151" spans="13:13" x14ac:dyDescent="0.35">
      <c r="M4151" s="11"/>
    </row>
    <row r="4152" spans="13:13" x14ac:dyDescent="0.35">
      <c r="M4152" s="11"/>
    </row>
    <row r="4153" spans="13:13" x14ac:dyDescent="0.35">
      <c r="M4153" s="11"/>
    </row>
    <row r="4154" spans="13:13" x14ac:dyDescent="0.35">
      <c r="M4154" s="11"/>
    </row>
    <row r="4155" spans="13:13" x14ac:dyDescent="0.35">
      <c r="M4155" s="11"/>
    </row>
    <row r="4156" spans="13:13" x14ac:dyDescent="0.35">
      <c r="M4156" s="11"/>
    </row>
    <row r="4157" spans="13:13" x14ac:dyDescent="0.35">
      <c r="M4157" s="11"/>
    </row>
    <row r="4158" spans="13:13" x14ac:dyDescent="0.35">
      <c r="M4158" s="11"/>
    </row>
    <row r="4159" spans="13:13" x14ac:dyDescent="0.35">
      <c r="M4159" s="11"/>
    </row>
    <row r="4160" spans="13:13" x14ac:dyDescent="0.35">
      <c r="M4160" s="11"/>
    </row>
    <row r="4161" spans="13:13" x14ac:dyDescent="0.35">
      <c r="M4161" s="11"/>
    </row>
    <row r="4162" spans="13:13" x14ac:dyDescent="0.35">
      <c r="M4162" s="11"/>
    </row>
    <row r="4163" spans="13:13" x14ac:dyDescent="0.35">
      <c r="M4163" s="11"/>
    </row>
    <row r="4164" spans="13:13" x14ac:dyDescent="0.35">
      <c r="M4164" s="11"/>
    </row>
    <row r="4165" spans="13:13" x14ac:dyDescent="0.35">
      <c r="M4165" s="11"/>
    </row>
    <row r="4166" spans="13:13" x14ac:dyDescent="0.35">
      <c r="M4166" s="11"/>
    </row>
    <row r="4167" spans="13:13" x14ac:dyDescent="0.35">
      <c r="M4167" s="11"/>
    </row>
    <row r="4168" spans="13:13" x14ac:dyDescent="0.35">
      <c r="M4168" s="11"/>
    </row>
    <row r="4169" spans="13:13" x14ac:dyDescent="0.35">
      <c r="M4169" s="11"/>
    </row>
    <row r="4170" spans="13:13" x14ac:dyDescent="0.35">
      <c r="M4170" s="11"/>
    </row>
    <row r="4171" spans="13:13" x14ac:dyDescent="0.35">
      <c r="M4171" s="11"/>
    </row>
    <row r="4172" spans="13:13" x14ac:dyDescent="0.35">
      <c r="M4172" s="11"/>
    </row>
    <row r="4173" spans="13:13" x14ac:dyDescent="0.35">
      <c r="M4173" s="11"/>
    </row>
    <row r="4174" spans="13:13" x14ac:dyDescent="0.35">
      <c r="M4174" s="11"/>
    </row>
    <row r="4175" spans="13:13" x14ac:dyDescent="0.35">
      <c r="M4175" s="11"/>
    </row>
    <row r="4176" spans="13:13" x14ac:dyDescent="0.35">
      <c r="M4176" s="11"/>
    </row>
    <row r="4177" spans="13:13" x14ac:dyDescent="0.35">
      <c r="M4177" s="11"/>
    </row>
    <row r="4178" spans="13:13" x14ac:dyDescent="0.35">
      <c r="M4178" s="11"/>
    </row>
    <row r="4179" spans="13:13" x14ac:dyDescent="0.35">
      <c r="M4179" s="11"/>
    </row>
    <row r="4180" spans="13:13" x14ac:dyDescent="0.35">
      <c r="M4180" s="11"/>
    </row>
    <row r="4181" spans="13:13" x14ac:dyDescent="0.35">
      <c r="M4181" s="11"/>
    </row>
    <row r="4182" spans="13:13" x14ac:dyDescent="0.35">
      <c r="M4182" s="11"/>
    </row>
    <row r="4183" spans="13:13" x14ac:dyDescent="0.35">
      <c r="M4183" s="11"/>
    </row>
    <row r="4184" spans="13:13" x14ac:dyDescent="0.35">
      <c r="M4184" s="11"/>
    </row>
    <row r="4185" spans="13:13" x14ac:dyDescent="0.35">
      <c r="M4185" s="11"/>
    </row>
    <row r="4186" spans="13:13" x14ac:dyDescent="0.35">
      <c r="M4186" s="11"/>
    </row>
    <row r="4187" spans="13:13" x14ac:dyDescent="0.35">
      <c r="M4187" s="11"/>
    </row>
    <row r="4188" spans="13:13" x14ac:dyDescent="0.35">
      <c r="M4188" s="11"/>
    </row>
    <row r="4189" spans="13:13" x14ac:dyDescent="0.35">
      <c r="M4189" s="11"/>
    </row>
    <row r="4190" spans="13:13" x14ac:dyDescent="0.35">
      <c r="M4190" s="11"/>
    </row>
    <row r="4191" spans="13:13" x14ac:dyDescent="0.35">
      <c r="M4191" s="11"/>
    </row>
    <row r="4192" spans="13:13" x14ac:dyDescent="0.35">
      <c r="M4192" s="11"/>
    </row>
    <row r="4193" spans="13:13" x14ac:dyDescent="0.35">
      <c r="M4193" s="11"/>
    </row>
    <row r="4194" spans="13:13" x14ac:dyDescent="0.35">
      <c r="M4194" s="11"/>
    </row>
    <row r="4195" spans="13:13" x14ac:dyDescent="0.35">
      <c r="M4195" s="11"/>
    </row>
    <row r="4196" spans="13:13" x14ac:dyDescent="0.35">
      <c r="M4196" s="11"/>
    </row>
    <row r="4197" spans="13:13" x14ac:dyDescent="0.35">
      <c r="M4197" s="11"/>
    </row>
    <row r="4198" spans="13:13" x14ac:dyDescent="0.35">
      <c r="M4198" s="11"/>
    </row>
    <row r="4199" spans="13:13" x14ac:dyDescent="0.35">
      <c r="M4199" s="11"/>
    </row>
    <row r="4200" spans="13:13" x14ac:dyDescent="0.35">
      <c r="M4200" s="11"/>
    </row>
    <row r="4201" spans="13:13" x14ac:dyDescent="0.35">
      <c r="M4201" s="11"/>
    </row>
    <row r="4202" spans="13:13" x14ac:dyDescent="0.35">
      <c r="M4202" s="11"/>
    </row>
    <row r="4203" spans="13:13" x14ac:dyDescent="0.35">
      <c r="M4203" s="11"/>
    </row>
    <row r="4204" spans="13:13" x14ac:dyDescent="0.35">
      <c r="M4204" s="11"/>
    </row>
    <row r="4205" spans="13:13" x14ac:dyDescent="0.35">
      <c r="M4205" s="11"/>
    </row>
    <row r="4206" spans="13:13" x14ac:dyDescent="0.35">
      <c r="M4206" s="11"/>
    </row>
    <row r="4207" spans="13:13" x14ac:dyDescent="0.35">
      <c r="M4207" s="11"/>
    </row>
    <row r="4208" spans="13:13" x14ac:dyDescent="0.35">
      <c r="M4208" s="11"/>
    </row>
    <row r="4209" spans="13:13" x14ac:dyDescent="0.35">
      <c r="M4209" s="11"/>
    </row>
    <row r="4210" spans="13:13" x14ac:dyDescent="0.35">
      <c r="M4210" s="11"/>
    </row>
    <row r="4211" spans="13:13" x14ac:dyDescent="0.35">
      <c r="M4211" s="11"/>
    </row>
    <row r="4212" spans="13:13" x14ac:dyDescent="0.35">
      <c r="M4212" s="11"/>
    </row>
    <row r="4213" spans="13:13" x14ac:dyDescent="0.35">
      <c r="M4213" s="11"/>
    </row>
    <row r="4214" spans="13:13" x14ac:dyDescent="0.35">
      <c r="M4214" s="11"/>
    </row>
    <row r="4215" spans="13:13" x14ac:dyDescent="0.35">
      <c r="M4215" s="11"/>
    </row>
    <row r="4216" spans="13:13" x14ac:dyDescent="0.35">
      <c r="M4216" s="11"/>
    </row>
    <row r="4217" spans="13:13" x14ac:dyDescent="0.35">
      <c r="M4217" s="11"/>
    </row>
    <row r="4218" spans="13:13" x14ac:dyDescent="0.35">
      <c r="M4218" s="11"/>
    </row>
    <row r="4219" spans="13:13" x14ac:dyDescent="0.35">
      <c r="M4219" s="11"/>
    </row>
    <row r="4220" spans="13:13" x14ac:dyDescent="0.35">
      <c r="M4220" s="11"/>
    </row>
    <row r="4221" spans="13:13" x14ac:dyDescent="0.35">
      <c r="M4221" s="11"/>
    </row>
    <row r="4222" spans="13:13" x14ac:dyDescent="0.35">
      <c r="M4222" s="11"/>
    </row>
    <row r="4223" spans="13:13" x14ac:dyDescent="0.35">
      <c r="M4223" s="11"/>
    </row>
    <row r="4224" spans="13:13" x14ac:dyDescent="0.35">
      <c r="M4224" s="11"/>
    </row>
    <row r="4225" spans="13:13" x14ac:dyDescent="0.35">
      <c r="M4225" s="11"/>
    </row>
    <row r="4226" spans="13:13" x14ac:dyDescent="0.35">
      <c r="M4226" s="11"/>
    </row>
    <row r="4227" spans="13:13" x14ac:dyDescent="0.35">
      <c r="M4227" s="11"/>
    </row>
    <row r="4228" spans="13:13" x14ac:dyDescent="0.35">
      <c r="M4228" s="11"/>
    </row>
    <row r="4229" spans="13:13" x14ac:dyDescent="0.35">
      <c r="M4229" s="11"/>
    </row>
    <row r="4230" spans="13:13" x14ac:dyDescent="0.35">
      <c r="M4230" s="11"/>
    </row>
    <row r="4231" spans="13:13" x14ac:dyDescent="0.35">
      <c r="M4231" s="11"/>
    </row>
    <row r="4232" spans="13:13" x14ac:dyDescent="0.35">
      <c r="M4232" s="11"/>
    </row>
    <row r="4233" spans="13:13" x14ac:dyDescent="0.35">
      <c r="M4233" s="11"/>
    </row>
    <row r="4234" spans="13:13" x14ac:dyDescent="0.35">
      <c r="M4234" s="11"/>
    </row>
    <row r="4235" spans="13:13" x14ac:dyDescent="0.35">
      <c r="M4235" s="11"/>
    </row>
    <row r="4236" spans="13:13" x14ac:dyDescent="0.35">
      <c r="M4236" s="11"/>
    </row>
    <row r="4237" spans="13:13" x14ac:dyDescent="0.35">
      <c r="M4237" s="11"/>
    </row>
    <row r="4238" spans="13:13" x14ac:dyDescent="0.35">
      <c r="M4238" s="11"/>
    </row>
    <row r="4239" spans="13:13" x14ac:dyDescent="0.35">
      <c r="M4239" s="11"/>
    </row>
    <row r="4240" spans="13:13" x14ac:dyDescent="0.35">
      <c r="M4240" s="11"/>
    </row>
    <row r="4241" spans="13:13" x14ac:dyDescent="0.35">
      <c r="M4241" s="11"/>
    </row>
    <row r="4242" spans="13:13" x14ac:dyDescent="0.35">
      <c r="M4242" s="11"/>
    </row>
    <row r="4243" spans="13:13" x14ac:dyDescent="0.35">
      <c r="M4243" s="11"/>
    </row>
    <row r="4244" spans="13:13" x14ac:dyDescent="0.35">
      <c r="M4244" s="11"/>
    </row>
    <row r="4245" spans="13:13" x14ac:dyDescent="0.35">
      <c r="M4245" s="11"/>
    </row>
    <row r="4246" spans="13:13" x14ac:dyDescent="0.35">
      <c r="M4246" s="11"/>
    </row>
    <row r="4247" spans="13:13" x14ac:dyDescent="0.35">
      <c r="M4247" s="11"/>
    </row>
    <row r="4248" spans="13:13" x14ac:dyDescent="0.35">
      <c r="M4248" s="11"/>
    </row>
    <row r="4249" spans="13:13" x14ac:dyDescent="0.35">
      <c r="M4249" s="11"/>
    </row>
    <row r="4250" spans="13:13" x14ac:dyDescent="0.35">
      <c r="M4250" s="11"/>
    </row>
    <row r="4251" spans="13:13" x14ac:dyDescent="0.35">
      <c r="M4251" s="11"/>
    </row>
    <row r="4252" spans="13:13" x14ac:dyDescent="0.35">
      <c r="M4252" s="11"/>
    </row>
    <row r="4253" spans="13:13" x14ac:dyDescent="0.35">
      <c r="M4253" s="11"/>
    </row>
    <row r="4254" spans="13:13" x14ac:dyDescent="0.35">
      <c r="M4254" s="11"/>
    </row>
    <row r="4255" spans="13:13" x14ac:dyDescent="0.35">
      <c r="M4255" s="11"/>
    </row>
    <row r="4256" spans="13:13" x14ac:dyDescent="0.35">
      <c r="M4256" s="11"/>
    </row>
    <row r="4257" spans="13:13" x14ac:dyDescent="0.35">
      <c r="M4257" s="11"/>
    </row>
    <row r="4258" spans="13:13" x14ac:dyDescent="0.35">
      <c r="M4258" s="11"/>
    </row>
    <row r="4259" spans="13:13" x14ac:dyDescent="0.35">
      <c r="M4259" s="11"/>
    </row>
    <row r="4260" spans="13:13" x14ac:dyDescent="0.35">
      <c r="M4260" s="11"/>
    </row>
    <row r="4261" spans="13:13" x14ac:dyDescent="0.35">
      <c r="M4261" s="11"/>
    </row>
    <row r="4262" spans="13:13" x14ac:dyDescent="0.35">
      <c r="M4262" s="11"/>
    </row>
    <row r="4263" spans="13:13" x14ac:dyDescent="0.35">
      <c r="M4263" s="11"/>
    </row>
    <row r="4264" spans="13:13" x14ac:dyDescent="0.35">
      <c r="M4264" s="11"/>
    </row>
    <row r="4265" spans="13:13" x14ac:dyDescent="0.35">
      <c r="M4265" s="11"/>
    </row>
    <row r="4266" spans="13:13" x14ac:dyDescent="0.35">
      <c r="M4266" s="11"/>
    </row>
    <row r="4267" spans="13:13" x14ac:dyDescent="0.35">
      <c r="M4267" s="11"/>
    </row>
    <row r="4268" spans="13:13" x14ac:dyDescent="0.35">
      <c r="M4268" s="11"/>
    </row>
    <row r="4269" spans="13:13" x14ac:dyDescent="0.35">
      <c r="M4269" s="11"/>
    </row>
    <row r="4270" spans="13:13" x14ac:dyDescent="0.35">
      <c r="M4270" s="11"/>
    </row>
    <row r="4271" spans="13:13" x14ac:dyDescent="0.35">
      <c r="M4271" s="11"/>
    </row>
    <row r="4272" spans="13:13" x14ac:dyDescent="0.35">
      <c r="M4272" s="11"/>
    </row>
    <row r="4273" spans="13:13" x14ac:dyDescent="0.35">
      <c r="M4273" s="11"/>
    </row>
    <row r="4274" spans="13:13" x14ac:dyDescent="0.35">
      <c r="M4274" s="11"/>
    </row>
    <row r="4275" spans="13:13" x14ac:dyDescent="0.35">
      <c r="M4275" s="11"/>
    </row>
    <row r="4276" spans="13:13" x14ac:dyDescent="0.35">
      <c r="M4276" s="11"/>
    </row>
    <row r="4277" spans="13:13" x14ac:dyDescent="0.35">
      <c r="M4277" s="11"/>
    </row>
    <row r="4278" spans="13:13" x14ac:dyDescent="0.35">
      <c r="M4278" s="11"/>
    </row>
    <row r="4279" spans="13:13" x14ac:dyDescent="0.35">
      <c r="M4279" s="11"/>
    </row>
    <row r="4280" spans="13:13" x14ac:dyDescent="0.35">
      <c r="M4280" s="11"/>
    </row>
    <row r="4281" spans="13:13" x14ac:dyDescent="0.35">
      <c r="M4281" s="11"/>
    </row>
    <row r="4282" spans="13:13" x14ac:dyDescent="0.35">
      <c r="M4282" s="11"/>
    </row>
    <row r="4283" spans="13:13" x14ac:dyDescent="0.35">
      <c r="M4283" s="11"/>
    </row>
    <row r="4284" spans="13:13" x14ac:dyDescent="0.35">
      <c r="M4284" s="11"/>
    </row>
    <row r="4285" spans="13:13" x14ac:dyDescent="0.35">
      <c r="M4285" s="11"/>
    </row>
    <row r="4286" spans="13:13" x14ac:dyDescent="0.35">
      <c r="M4286" s="11"/>
    </row>
    <row r="4287" spans="13:13" x14ac:dyDescent="0.35">
      <c r="M4287" s="11"/>
    </row>
    <row r="4288" spans="13:13" x14ac:dyDescent="0.35">
      <c r="M4288" s="11"/>
    </row>
    <row r="4289" spans="13:13" x14ac:dyDescent="0.35">
      <c r="M4289" s="11"/>
    </row>
    <row r="4290" spans="13:13" x14ac:dyDescent="0.35">
      <c r="M4290" s="11"/>
    </row>
    <row r="4291" spans="13:13" x14ac:dyDescent="0.35">
      <c r="M4291" s="11"/>
    </row>
    <row r="4292" spans="13:13" x14ac:dyDescent="0.35">
      <c r="M4292" s="11"/>
    </row>
    <row r="4293" spans="13:13" x14ac:dyDescent="0.35">
      <c r="M4293" s="11"/>
    </row>
    <row r="4294" spans="13:13" x14ac:dyDescent="0.35">
      <c r="M4294" s="11"/>
    </row>
    <row r="4295" spans="13:13" x14ac:dyDescent="0.35">
      <c r="M4295" s="11"/>
    </row>
    <row r="4296" spans="13:13" x14ac:dyDescent="0.35">
      <c r="M4296" s="11"/>
    </row>
    <row r="4297" spans="13:13" x14ac:dyDescent="0.35">
      <c r="M4297" s="11"/>
    </row>
    <row r="4298" spans="13:13" x14ac:dyDescent="0.35">
      <c r="M4298" s="11"/>
    </row>
    <row r="4299" spans="13:13" x14ac:dyDescent="0.35">
      <c r="M4299" s="11"/>
    </row>
    <row r="4300" spans="13:13" x14ac:dyDescent="0.35">
      <c r="M4300" s="11"/>
    </row>
    <row r="4301" spans="13:13" x14ac:dyDescent="0.35">
      <c r="M4301" s="11"/>
    </row>
    <row r="4302" spans="13:13" x14ac:dyDescent="0.35">
      <c r="M4302" s="11"/>
    </row>
    <row r="4303" spans="13:13" x14ac:dyDescent="0.35">
      <c r="M4303" s="11"/>
    </row>
    <row r="4304" spans="13:13" x14ac:dyDescent="0.35">
      <c r="M4304" s="11"/>
    </row>
    <row r="4305" spans="13:13" x14ac:dyDescent="0.35">
      <c r="M4305" s="11"/>
    </row>
    <row r="4306" spans="13:13" x14ac:dyDescent="0.35">
      <c r="M4306" s="11"/>
    </row>
    <row r="4307" spans="13:13" x14ac:dyDescent="0.35">
      <c r="M4307" s="11"/>
    </row>
    <row r="4308" spans="13:13" x14ac:dyDescent="0.35">
      <c r="M4308" s="11"/>
    </row>
    <row r="4309" spans="13:13" x14ac:dyDescent="0.35">
      <c r="M4309" s="11"/>
    </row>
    <row r="4310" spans="13:13" x14ac:dyDescent="0.35">
      <c r="M4310" s="11"/>
    </row>
    <row r="4311" spans="13:13" x14ac:dyDescent="0.35">
      <c r="M4311" s="11"/>
    </row>
    <row r="4312" spans="13:13" x14ac:dyDescent="0.35">
      <c r="M4312" s="11"/>
    </row>
    <row r="4313" spans="13:13" x14ac:dyDescent="0.35">
      <c r="M4313" s="11"/>
    </row>
    <row r="4314" spans="13:13" x14ac:dyDescent="0.35">
      <c r="M4314" s="11"/>
    </row>
    <row r="4315" spans="13:13" x14ac:dyDescent="0.35">
      <c r="M4315" s="11"/>
    </row>
    <row r="4316" spans="13:13" x14ac:dyDescent="0.35">
      <c r="M4316" s="11"/>
    </row>
    <row r="4317" spans="13:13" x14ac:dyDescent="0.35">
      <c r="M4317" s="11"/>
    </row>
    <row r="4318" spans="13:13" x14ac:dyDescent="0.35">
      <c r="M4318" s="11"/>
    </row>
    <row r="4319" spans="13:13" x14ac:dyDescent="0.35">
      <c r="M4319" s="11"/>
    </row>
    <row r="4320" spans="13:13" x14ac:dyDescent="0.35">
      <c r="M4320" s="11"/>
    </row>
    <row r="4321" spans="13:13" x14ac:dyDescent="0.35">
      <c r="M4321" s="11"/>
    </row>
    <row r="4322" spans="13:13" x14ac:dyDescent="0.35">
      <c r="M4322" s="11"/>
    </row>
    <row r="4323" spans="13:13" x14ac:dyDescent="0.35">
      <c r="M4323" s="11"/>
    </row>
    <row r="4324" spans="13:13" x14ac:dyDescent="0.35">
      <c r="M4324" s="11"/>
    </row>
    <row r="4325" spans="13:13" x14ac:dyDescent="0.35">
      <c r="M4325" s="11"/>
    </row>
    <row r="4326" spans="13:13" x14ac:dyDescent="0.35">
      <c r="M4326" s="11"/>
    </row>
    <row r="4327" spans="13:13" x14ac:dyDescent="0.35">
      <c r="M4327" s="11"/>
    </row>
    <row r="4328" spans="13:13" x14ac:dyDescent="0.35">
      <c r="M4328" s="11"/>
    </row>
    <row r="4329" spans="13:13" x14ac:dyDescent="0.35">
      <c r="M4329" s="11"/>
    </row>
    <row r="4330" spans="13:13" x14ac:dyDescent="0.35">
      <c r="M4330" s="11"/>
    </row>
    <row r="4331" spans="13:13" x14ac:dyDescent="0.35">
      <c r="M4331" s="11"/>
    </row>
    <row r="4332" spans="13:13" x14ac:dyDescent="0.35">
      <c r="M4332" s="11"/>
    </row>
    <row r="4333" spans="13:13" x14ac:dyDescent="0.35">
      <c r="M4333" s="11"/>
    </row>
    <row r="4334" spans="13:13" x14ac:dyDescent="0.35">
      <c r="M4334" s="11"/>
    </row>
    <row r="4335" spans="13:13" x14ac:dyDescent="0.35">
      <c r="M4335" s="11"/>
    </row>
    <row r="4336" spans="13:13" x14ac:dyDescent="0.35">
      <c r="M4336" s="11"/>
    </row>
    <row r="4337" spans="13:13" x14ac:dyDescent="0.35">
      <c r="M4337" s="11"/>
    </row>
    <row r="4338" spans="13:13" x14ac:dyDescent="0.35">
      <c r="M4338" s="11"/>
    </row>
    <row r="4339" spans="13:13" x14ac:dyDescent="0.35">
      <c r="M4339" s="11"/>
    </row>
    <row r="4340" spans="13:13" x14ac:dyDescent="0.35">
      <c r="M4340" s="11"/>
    </row>
    <row r="4341" spans="13:13" x14ac:dyDescent="0.35">
      <c r="M4341" s="11"/>
    </row>
    <row r="4342" spans="13:13" x14ac:dyDescent="0.35">
      <c r="M4342" s="11"/>
    </row>
    <row r="4343" spans="13:13" x14ac:dyDescent="0.35">
      <c r="M4343" s="11"/>
    </row>
    <row r="4344" spans="13:13" x14ac:dyDescent="0.35">
      <c r="M4344" s="11"/>
    </row>
    <row r="4345" spans="13:13" x14ac:dyDescent="0.35">
      <c r="M4345" s="11"/>
    </row>
    <row r="4346" spans="13:13" x14ac:dyDescent="0.35">
      <c r="M4346" s="11"/>
    </row>
    <row r="4347" spans="13:13" x14ac:dyDescent="0.35">
      <c r="M4347" s="11"/>
    </row>
    <row r="4348" spans="13:13" x14ac:dyDescent="0.35">
      <c r="M4348" s="11"/>
    </row>
    <row r="4349" spans="13:13" x14ac:dyDescent="0.35">
      <c r="M4349" s="11"/>
    </row>
    <row r="4350" spans="13:13" x14ac:dyDescent="0.35">
      <c r="M4350" s="11"/>
    </row>
    <row r="4351" spans="13:13" x14ac:dyDescent="0.35">
      <c r="M4351" s="11"/>
    </row>
    <row r="4352" spans="13:13" x14ac:dyDescent="0.35">
      <c r="M4352" s="11"/>
    </row>
    <row r="4353" spans="13:13" x14ac:dyDescent="0.35">
      <c r="M4353" s="11"/>
    </row>
    <row r="4354" spans="13:13" x14ac:dyDescent="0.35">
      <c r="M4354" s="11"/>
    </row>
    <row r="4355" spans="13:13" x14ac:dyDescent="0.35">
      <c r="M4355" s="11"/>
    </row>
    <row r="4356" spans="13:13" x14ac:dyDescent="0.35">
      <c r="M4356" s="11"/>
    </row>
    <row r="4357" spans="13:13" x14ac:dyDescent="0.35">
      <c r="M4357" s="11"/>
    </row>
    <row r="4358" spans="13:13" x14ac:dyDescent="0.35">
      <c r="M4358" s="11"/>
    </row>
    <row r="4359" spans="13:13" x14ac:dyDescent="0.35">
      <c r="M4359" s="11"/>
    </row>
    <row r="4360" spans="13:13" x14ac:dyDescent="0.35">
      <c r="M4360" s="11"/>
    </row>
    <row r="4361" spans="13:13" x14ac:dyDescent="0.35">
      <c r="M4361" s="11"/>
    </row>
    <row r="4362" spans="13:13" x14ac:dyDescent="0.35">
      <c r="M4362" s="11"/>
    </row>
    <row r="4363" spans="13:13" x14ac:dyDescent="0.35">
      <c r="M4363" s="11"/>
    </row>
    <row r="4364" spans="13:13" x14ac:dyDescent="0.35">
      <c r="M4364" s="11"/>
    </row>
    <row r="4365" spans="13:13" x14ac:dyDescent="0.35">
      <c r="M4365" s="11"/>
    </row>
    <row r="4366" spans="13:13" x14ac:dyDescent="0.35">
      <c r="M4366" s="11"/>
    </row>
    <row r="4367" spans="13:13" x14ac:dyDescent="0.35">
      <c r="M4367" s="11"/>
    </row>
    <row r="4368" spans="13:13" x14ac:dyDescent="0.35">
      <c r="M4368" s="11"/>
    </row>
    <row r="4369" spans="13:13" x14ac:dyDescent="0.35">
      <c r="M4369" s="11"/>
    </row>
    <row r="4370" spans="13:13" x14ac:dyDescent="0.35">
      <c r="M4370" s="11"/>
    </row>
    <row r="4371" spans="13:13" x14ac:dyDescent="0.35">
      <c r="M4371" s="11"/>
    </row>
    <row r="4372" spans="13:13" x14ac:dyDescent="0.35">
      <c r="M4372" s="11"/>
    </row>
    <row r="4373" spans="13:13" x14ac:dyDescent="0.35">
      <c r="M4373" s="11"/>
    </row>
    <row r="4374" spans="13:13" x14ac:dyDescent="0.35">
      <c r="M4374" s="11"/>
    </row>
    <row r="4375" spans="13:13" x14ac:dyDescent="0.35">
      <c r="M4375" s="11"/>
    </row>
    <row r="4376" spans="13:13" x14ac:dyDescent="0.35">
      <c r="M4376" s="11"/>
    </row>
    <row r="4377" spans="13:13" x14ac:dyDescent="0.35">
      <c r="M4377" s="11"/>
    </row>
    <row r="4378" spans="13:13" x14ac:dyDescent="0.35">
      <c r="M4378" s="11"/>
    </row>
    <row r="4379" spans="13:13" x14ac:dyDescent="0.35">
      <c r="M4379" s="11"/>
    </row>
    <row r="4380" spans="13:13" x14ac:dyDescent="0.35">
      <c r="M4380" s="11"/>
    </row>
    <row r="4381" spans="13:13" x14ac:dyDescent="0.35">
      <c r="M4381" s="11"/>
    </row>
    <row r="4382" spans="13:13" x14ac:dyDescent="0.35">
      <c r="M4382" s="11"/>
    </row>
    <row r="4383" spans="13:13" x14ac:dyDescent="0.35">
      <c r="M4383" s="11"/>
    </row>
    <row r="4384" spans="13:13" x14ac:dyDescent="0.35">
      <c r="M4384" s="11"/>
    </row>
    <row r="4385" spans="13:13" x14ac:dyDescent="0.35">
      <c r="M4385" s="11"/>
    </row>
    <row r="4386" spans="13:13" x14ac:dyDescent="0.35">
      <c r="M4386" s="11"/>
    </row>
    <row r="4387" spans="13:13" x14ac:dyDescent="0.35">
      <c r="M4387" s="11"/>
    </row>
    <row r="4388" spans="13:13" x14ac:dyDescent="0.35">
      <c r="M4388" s="11"/>
    </row>
    <row r="4389" spans="13:13" x14ac:dyDescent="0.35">
      <c r="M4389" s="11"/>
    </row>
    <row r="4390" spans="13:13" x14ac:dyDescent="0.35">
      <c r="M4390" s="11"/>
    </row>
    <row r="4391" spans="13:13" x14ac:dyDescent="0.35">
      <c r="M4391" s="11"/>
    </row>
    <row r="4392" spans="13:13" x14ac:dyDescent="0.35">
      <c r="M4392" s="11"/>
    </row>
    <row r="4393" spans="13:13" x14ac:dyDescent="0.35">
      <c r="M4393" s="11"/>
    </row>
    <row r="4394" spans="13:13" x14ac:dyDescent="0.35">
      <c r="M4394" s="11"/>
    </row>
    <row r="4395" spans="13:13" x14ac:dyDescent="0.35">
      <c r="M4395" s="11"/>
    </row>
    <row r="4396" spans="13:13" x14ac:dyDescent="0.35">
      <c r="M4396" s="11"/>
    </row>
    <row r="4397" spans="13:13" x14ac:dyDescent="0.35">
      <c r="M4397" s="11"/>
    </row>
    <row r="4398" spans="13:13" x14ac:dyDescent="0.35">
      <c r="M4398" s="11"/>
    </row>
    <row r="4399" spans="13:13" x14ac:dyDescent="0.35">
      <c r="M4399" s="11"/>
    </row>
    <row r="4400" spans="13:13" x14ac:dyDescent="0.35">
      <c r="M4400" s="11"/>
    </row>
    <row r="4401" spans="13:13" x14ac:dyDescent="0.35">
      <c r="M4401" s="11"/>
    </row>
    <row r="4402" spans="13:13" x14ac:dyDescent="0.35">
      <c r="M4402" s="11"/>
    </row>
    <row r="4403" spans="13:13" x14ac:dyDescent="0.35">
      <c r="M4403" s="11"/>
    </row>
    <row r="4404" spans="13:13" x14ac:dyDescent="0.35">
      <c r="M4404" s="11"/>
    </row>
    <row r="4405" spans="13:13" x14ac:dyDescent="0.35">
      <c r="M4405" s="11"/>
    </row>
    <row r="4406" spans="13:13" x14ac:dyDescent="0.35">
      <c r="M4406" s="11"/>
    </row>
    <row r="4407" spans="13:13" x14ac:dyDescent="0.35">
      <c r="M4407" s="11"/>
    </row>
    <row r="4408" spans="13:13" x14ac:dyDescent="0.35">
      <c r="M4408" s="11"/>
    </row>
    <row r="4409" spans="13:13" x14ac:dyDescent="0.35">
      <c r="M4409" s="11"/>
    </row>
    <row r="4410" spans="13:13" x14ac:dyDescent="0.35">
      <c r="M4410" s="11"/>
    </row>
    <row r="4411" spans="13:13" x14ac:dyDescent="0.35">
      <c r="M4411" s="11"/>
    </row>
    <row r="4412" spans="13:13" x14ac:dyDescent="0.35">
      <c r="M4412" s="11"/>
    </row>
    <row r="4413" spans="13:13" x14ac:dyDescent="0.35">
      <c r="M4413" s="11"/>
    </row>
    <row r="4414" spans="13:13" x14ac:dyDescent="0.35">
      <c r="M4414" s="11"/>
    </row>
    <row r="4415" spans="13:13" x14ac:dyDescent="0.35">
      <c r="M4415" s="11"/>
    </row>
    <row r="4416" spans="13:13" x14ac:dyDescent="0.35">
      <c r="M4416" s="11"/>
    </row>
    <row r="4417" spans="13:13" x14ac:dyDescent="0.35">
      <c r="M4417" s="11"/>
    </row>
    <row r="4418" spans="13:13" x14ac:dyDescent="0.35">
      <c r="M4418" s="11"/>
    </row>
    <row r="4419" spans="13:13" x14ac:dyDescent="0.35">
      <c r="M4419" s="11"/>
    </row>
    <row r="4420" spans="13:13" x14ac:dyDescent="0.35">
      <c r="M4420" s="11"/>
    </row>
    <row r="4421" spans="13:13" x14ac:dyDescent="0.35">
      <c r="M4421" s="11"/>
    </row>
    <row r="4422" spans="13:13" x14ac:dyDescent="0.35">
      <c r="M4422" s="11"/>
    </row>
    <row r="4423" spans="13:13" x14ac:dyDescent="0.35">
      <c r="M4423" s="11"/>
    </row>
    <row r="4424" spans="13:13" x14ac:dyDescent="0.35">
      <c r="M4424" s="11"/>
    </row>
    <row r="4425" spans="13:13" x14ac:dyDescent="0.35">
      <c r="M4425" s="11"/>
    </row>
    <row r="4426" spans="13:13" x14ac:dyDescent="0.35">
      <c r="M4426" s="11"/>
    </row>
    <row r="4427" spans="13:13" x14ac:dyDescent="0.35">
      <c r="M4427" s="11"/>
    </row>
    <row r="4428" spans="13:13" x14ac:dyDescent="0.35">
      <c r="M4428" s="11"/>
    </row>
    <row r="4429" spans="13:13" x14ac:dyDescent="0.35">
      <c r="M4429" s="11"/>
    </row>
    <row r="4430" spans="13:13" x14ac:dyDescent="0.35">
      <c r="M4430" s="11"/>
    </row>
    <row r="4431" spans="13:13" x14ac:dyDescent="0.35">
      <c r="M4431" s="11"/>
    </row>
    <row r="4432" spans="13:13" x14ac:dyDescent="0.35">
      <c r="M4432" s="11"/>
    </row>
    <row r="4433" spans="13:13" x14ac:dyDescent="0.35">
      <c r="M4433" s="11"/>
    </row>
    <row r="4434" spans="13:13" x14ac:dyDescent="0.35">
      <c r="M4434" s="11"/>
    </row>
    <row r="4435" spans="13:13" x14ac:dyDescent="0.35">
      <c r="M4435" s="11"/>
    </row>
    <row r="4436" spans="13:13" x14ac:dyDescent="0.35">
      <c r="M4436" s="11"/>
    </row>
    <row r="4437" spans="13:13" x14ac:dyDescent="0.35">
      <c r="M4437" s="11"/>
    </row>
    <row r="4438" spans="13:13" x14ac:dyDescent="0.35">
      <c r="M4438" s="11"/>
    </row>
    <row r="4439" spans="13:13" x14ac:dyDescent="0.35">
      <c r="M4439" s="11"/>
    </row>
    <row r="4440" spans="13:13" x14ac:dyDescent="0.35">
      <c r="M4440" s="11"/>
    </row>
    <row r="4441" spans="13:13" x14ac:dyDescent="0.35">
      <c r="M4441" s="11"/>
    </row>
    <row r="4442" spans="13:13" x14ac:dyDescent="0.35">
      <c r="M4442" s="11"/>
    </row>
    <row r="4443" spans="13:13" x14ac:dyDescent="0.35">
      <c r="M4443" s="11"/>
    </row>
    <row r="4444" spans="13:13" x14ac:dyDescent="0.35">
      <c r="M4444" s="11"/>
    </row>
    <row r="4445" spans="13:13" x14ac:dyDescent="0.35">
      <c r="M4445" s="11"/>
    </row>
    <row r="4446" spans="13:13" x14ac:dyDescent="0.35">
      <c r="M4446" s="11"/>
    </row>
    <row r="4447" spans="13:13" x14ac:dyDescent="0.35">
      <c r="M4447" s="11"/>
    </row>
    <row r="4448" spans="13:13" x14ac:dyDescent="0.35">
      <c r="M4448" s="11"/>
    </row>
    <row r="4449" spans="13:13" x14ac:dyDescent="0.35">
      <c r="M4449" s="11"/>
    </row>
    <row r="4450" spans="13:13" x14ac:dyDescent="0.35">
      <c r="M4450" s="11"/>
    </row>
    <row r="4451" spans="13:13" x14ac:dyDescent="0.35">
      <c r="M4451" s="11"/>
    </row>
    <row r="4452" spans="13:13" x14ac:dyDescent="0.35">
      <c r="M4452" s="11"/>
    </row>
    <row r="4453" spans="13:13" x14ac:dyDescent="0.35">
      <c r="M4453" s="11"/>
    </row>
    <row r="4454" spans="13:13" x14ac:dyDescent="0.35">
      <c r="M4454" s="11"/>
    </row>
    <row r="4455" spans="13:13" x14ac:dyDescent="0.35">
      <c r="M4455" s="11"/>
    </row>
    <row r="4456" spans="13:13" x14ac:dyDescent="0.35">
      <c r="M4456" s="11"/>
    </row>
    <row r="4457" spans="13:13" x14ac:dyDescent="0.35">
      <c r="M4457" s="11"/>
    </row>
    <row r="4458" spans="13:13" x14ac:dyDescent="0.35">
      <c r="M4458" s="11"/>
    </row>
    <row r="4459" spans="13:13" x14ac:dyDescent="0.35">
      <c r="M4459" s="11"/>
    </row>
    <row r="4460" spans="13:13" x14ac:dyDescent="0.35">
      <c r="M4460" s="11"/>
    </row>
    <row r="4461" spans="13:13" x14ac:dyDescent="0.35">
      <c r="M4461" s="11"/>
    </row>
    <row r="4462" spans="13:13" x14ac:dyDescent="0.35">
      <c r="M4462" s="11"/>
    </row>
    <row r="4463" spans="13:13" x14ac:dyDescent="0.35">
      <c r="M4463" s="11"/>
    </row>
    <row r="4464" spans="13:13" x14ac:dyDescent="0.35">
      <c r="M4464" s="11"/>
    </row>
    <row r="4465" spans="13:13" x14ac:dyDescent="0.35">
      <c r="M4465" s="11"/>
    </row>
    <row r="4466" spans="13:13" x14ac:dyDescent="0.35">
      <c r="M4466" s="11"/>
    </row>
    <row r="4467" spans="13:13" x14ac:dyDescent="0.35">
      <c r="M4467" s="11"/>
    </row>
    <row r="4468" spans="13:13" x14ac:dyDescent="0.35">
      <c r="M4468" s="11"/>
    </row>
    <row r="4469" spans="13:13" x14ac:dyDescent="0.35">
      <c r="M4469" s="11"/>
    </row>
    <row r="4470" spans="13:13" x14ac:dyDescent="0.35">
      <c r="M4470" s="11"/>
    </row>
    <row r="4471" spans="13:13" x14ac:dyDescent="0.35">
      <c r="M4471" s="11"/>
    </row>
    <row r="4472" spans="13:13" x14ac:dyDescent="0.35">
      <c r="M4472" s="11"/>
    </row>
    <row r="4473" spans="13:13" x14ac:dyDescent="0.35">
      <c r="M4473" s="11"/>
    </row>
    <row r="4474" spans="13:13" x14ac:dyDescent="0.35">
      <c r="M4474" s="11"/>
    </row>
    <row r="4475" spans="13:13" x14ac:dyDescent="0.35">
      <c r="M4475" s="11"/>
    </row>
    <row r="4476" spans="13:13" x14ac:dyDescent="0.35">
      <c r="M4476" s="11"/>
    </row>
    <row r="4477" spans="13:13" x14ac:dyDescent="0.35">
      <c r="M4477" s="11"/>
    </row>
    <row r="4478" spans="13:13" x14ac:dyDescent="0.35">
      <c r="M4478" s="11"/>
    </row>
    <row r="4479" spans="13:13" x14ac:dyDescent="0.35">
      <c r="M4479" s="11"/>
    </row>
    <row r="4480" spans="13:13" x14ac:dyDescent="0.35">
      <c r="M4480" s="11"/>
    </row>
    <row r="4481" spans="13:13" x14ac:dyDescent="0.35">
      <c r="M4481" s="11"/>
    </row>
    <row r="4482" spans="13:13" x14ac:dyDescent="0.35">
      <c r="M4482" s="11"/>
    </row>
    <row r="4483" spans="13:13" x14ac:dyDescent="0.35">
      <c r="M4483" s="11"/>
    </row>
    <row r="4484" spans="13:13" x14ac:dyDescent="0.35">
      <c r="M4484" s="11"/>
    </row>
    <row r="4485" spans="13:13" x14ac:dyDescent="0.35">
      <c r="M4485" s="11"/>
    </row>
    <row r="4486" spans="13:13" x14ac:dyDescent="0.35">
      <c r="M4486" s="11"/>
    </row>
    <row r="4487" spans="13:13" x14ac:dyDescent="0.35">
      <c r="M4487" s="11"/>
    </row>
    <row r="4488" spans="13:13" x14ac:dyDescent="0.35">
      <c r="M4488" s="11"/>
    </row>
    <row r="4489" spans="13:13" x14ac:dyDescent="0.35">
      <c r="M4489" s="11"/>
    </row>
    <row r="4490" spans="13:13" x14ac:dyDescent="0.35">
      <c r="M4490" s="11"/>
    </row>
    <row r="4491" spans="13:13" x14ac:dyDescent="0.35">
      <c r="M4491" s="11"/>
    </row>
    <row r="4492" spans="13:13" x14ac:dyDescent="0.35">
      <c r="M4492" s="11"/>
    </row>
    <row r="4493" spans="13:13" x14ac:dyDescent="0.35">
      <c r="M4493" s="11"/>
    </row>
    <row r="4494" spans="13:13" x14ac:dyDescent="0.35">
      <c r="M4494" s="11"/>
    </row>
    <row r="4495" spans="13:13" x14ac:dyDescent="0.35">
      <c r="M4495" s="11"/>
    </row>
    <row r="4496" spans="13:13" x14ac:dyDescent="0.35">
      <c r="M4496" s="11"/>
    </row>
    <row r="4497" spans="13:13" x14ac:dyDescent="0.35">
      <c r="M4497" s="11"/>
    </row>
    <row r="4498" spans="13:13" x14ac:dyDescent="0.35">
      <c r="M4498" s="11"/>
    </row>
    <row r="4499" spans="13:13" x14ac:dyDescent="0.35">
      <c r="M4499" s="11"/>
    </row>
    <row r="4500" spans="13:13" x14ac:dyDescent="0.35">
      <c r="M4500" s="11"/>
    </row>
    <row r="4501" spans="13:13" x14ac:dyDescent="0.35">
      <c r="M4501" s="11"/>
    </row>
    <row r="4502" spans="13:13" x14ac:dyDescent="0.35">
      <c r="M4502" s="11"/>
    </row>
    <row r="4503" spans="13:13" x14ac:dyDescent="0.35">
      <c r="M4503" s="11"/>
    </row>
    <row r="4504" spans="13:13" x14ac:dyDescent="0.35">
      <c r="M4504" s="11"/>
    </row>
    <row r="4505" spans="13:13" x14ac:dyDescent="0.35">
      <c r="M4505" s="11"/>
    </row>
    <row r="4506" spans="13:13" x14ac:dyDescent="0.35">
      <c r="M4506" s="11"/>
    </row>
    <row r="4507" spans="13:13" x14ac:dyDescent="0.35">
      <c r="M4507" s="11"/>
    </row>
    <row r="4508" spans="13:13" x14ac:dyDescent="0.35">
      <c r="M4508" s="11"/>
    </row>
    <row r="4509" spans="13:13" x14ac:dyDescent="0.35">
      <c r="M4509" s="11"/>
    </row>
    <row r="4510" spans="13:13" x14ac:dyDescent="0.35">
      <c r="M4510" s="11"/>
    </row>
    <row r="4511" spans="13:13" x14ac:dyDescent="0.35">
      <c r="M4511" s="11"/>
    </row>
    <row r="4512" spans="13:13" x14ac:dyDescent="0.35">
      <c r="M4512" s="11"/>
    </row>
    <row r="4513" spans="13:13" x14ac:dyDescent="0.35">
      <c r="M4513" s="11"/>
    </row>
    <row r="4514" spans="13:13" x14ac:dyDescent="0.35">
      <c r="M4514" s="11"/>
    </row>
    <row r="4515" spans="13:13" x14ac:dyDescent="0.35">
      <c r="M4515" s="11"/>
    </row>
    <row r="4516" spans="13:13" x14ac:dyDescent="0.35">
      <c r="M4516" s="11"/>
    </row>
    <row r="4517" spans="13:13" x14ac:dyDescent="0.35">
      <c r="M4517" s="11"/>
    </row>
    <row r="4518" spans="13:13" x14ac:dyDescent="0.35">
      <c r="M4518" s="11"/>
    </row>
    <row r="4519" spans="13:13" x14ac:dyDescent="0.35">
      <c r="M4519" s="11"/>
    </row>
    <row r="4520" spans="13:13" x14ac:dyDescent="0.35">
      <c r="M4520" s="11"/>
    </row>
    <row r="4521" spans="13:13" x14ac:dyDescent="0.35">
      <c r="M4521" s="11"/>
    </row>
    <row r="4522" spans="13:13" x14ac:dyDescent="0.35">
      <c r="M4522" s="11"/>
    </row>
    <row r="4523" spans="13:13" x14ac:dyDescent="0.35">
      <c r="M4523" s="11"/>
    </row>
    <row r="4524" spans="13:13" x14ac:dyDescent="0.35">
      <c r="M4524" s="11"/>
    </row>
    <row r="4525" spans="13:13" x14ac:dyDescent="0.35">
      <c r="M4525" s="11"/>
    </row>
    <row r="4526" spans="13:13" x14ac:dyDescent="0.35">
      <c r="M4526" s="11"/>
    </row>
    <row r="4527" spans="13:13" x14ac:dyDescent="0.35">
      <c r="M4527" s="11"/>
    </row>
    <row r="4528" spans="13:13" x14ac:dyDescent="0.35">
      <c r="M4528" s="11"/>
    </row>
    <row r="4529" spans="13:13" x14ac:dyDescent="0.35">
      <c r="M4529" s="11"/>
    </row>
    <row r="4530" spans="13:13" x14ac:dyDescent="0.35">
      <c r="M4530" s="11"/>
    </row>
    <row r="4531" spans="13:13" x14ac:dyDescent="0.35">
      <c r="M4531" s="11"/>
    </row>
    <row r="4532" spans="13:13" x14ac:dyDescent="0.35">
      <c r="M4532" s="11"/>
    </row>
    <row r="4533" spans="13:13" x14ac:dyDescent="0.35">
      <c r="M4533" s="11"/>
    </row>
    <row r="4534" spans="13:13" x14ac:dyDescent="0.35">
      <c r="M4534" s="11"/>
    </row>
    <row r="4535" spans="13:13" x14ac:dyDescent="0.35">
      <c r="M4535" s="11"/>
    </row>
    <row r="4536" spans="13:13" x14ac:dyDescent="0.35">
      <c r="M4536" s="11"/>
    </row>
    <row r="4537" spans="13:13" x14ac:dyDescent="0.35">
      <c r="M4537" s="11"/>
    </row>
    <row r="4538" spans="13:13" x14ac:dyDescent="0.35">
      <c r="M4538" s="11"/>
    </row>
    <row r="4539" spans="13:13" x14ac:dyDescent="0.35">
      <c r="M4539" s="11"/>
    </row>
    <row r="4540" spans="13:13" x14ac:dyDescent="0.35">
      <c r="M4540" s="11"/>
    </row>
    <row r="4541" spans="13:13" x14ac:dyDescent="0.35">
      <c r="M4541" s="11"/>
    </row>
    <row r="4542" spans="13:13" x14ac:dyDescent="0.35">
      <c r="M4542" s="11"/>
    </row>
    <row r="4543" spans="13:13" x14ac:dyDescent="0.35">
      <c r="M4543" s="11"/>
    </row>
    <row r="4544" spans="13:13" x14ac:dyDescent="0.35">
      <c r="M4544" s="11"/>
    </row>
    <row r="4545" spans="13:13" x14ac:dyDescent="0.35">
      <c r="M4545" s="11"/>
    </row>
    <row r="4546" spans="13:13" x14ac:dyDescent="0.35">
      <c r="M4546" s="11"/>
    </row>
    <row r="4547" spans="13:13" x14ac:dyDescent="0.35">
      <c r="M4547" s="11"/>
    </row>
    <row r="4548" spans="13:13" x14ac:dyDescent="0.35">
      <c r="M4548" s="11"/>
    </row>
    <row r="4549" spans="13:13" x14ac:dyDescent="0.35">
      <c r="M4549" s="11"/>
    </row>
    <row r="4550" spans="13:13" x14ac:dyDescent="0.35">
      <c r="M4550" s="11"/>
    </row>
    <row r="4551" spans="13:13" x14ac:dyDescent="0.35">
      <c r="M4551" s="11"/>
    </row>
    <row r="4552" spans="13:13" x14ac:dyDescent="0.35">
      <c r="M4552" s="11"/>
    </row>
    <row r="4553" spans="13:13" x14ac:dyDescent="0.35">
      <c r="M4553" s="11"/>
    </row>
    <row r="4554" spans="13:13" x14ac:dyDescent="0.35">
      <c r="M4554" s="11"/>
    </row>
    <row r="4555" spans="13:13" x14ac:dyDescent="0.35">
      <c r="M4555" s="11"/>
    </row>
    <row r="4556" spans="13:13" x14ac:dyDescent="0.35">
      <c r="M4556" s="11"/>
    </row>
    <row r="4557" spans="13:13" x14ac:dyDescent="0.35">
      <c r="M4557" s="11"/>
    </row>
    <row r="4558" spans="13:13" x14ac:dyDescent="0.35">
      <c r="M4558" s="11"/>
    </row>
    <row r="4559" spans="13:13" x14ac:dyDescent="0.35">
      <c r="M4559" s="11"/>
    </row>
    <row r="4560" spans="13:13" x14ac:dyDescent="0.35">
      <c r="M4560" s="11"/>
    </row>
    <row r="4561" spans="13:13" x14ac:dyDescent="0.35">
      <c r="M4561" s="11"/>
    </row>
    <row r="4562" spans="13:13" x14ac:dyDescent="0.35">
      <c r="M4562" s="11"/>
    </row>
    <row r="4563" spans="13:13" x14ac:dyDescent="0.35">
      <c r="M4563" s="11"/>
    </row>
    <row r="4564" spans="13:13" x14ac:dyDescent="0.35">
      <c r="M4564" s="11"/>
    </row>
    <row r="4565" spans="13:13" x14ac:dyDescent="0.35">
      <c r="M4565" s="11"/>
    </row>
    <row r="4566" spans="13:13" x14ac:dyDescent="0.35">
      <c r="M4566" s="11"/>
    </row>
    <row r="4567" spans="13:13" x14ac:dyDescent="0.35">
      <c r="M4567" s="11"/>
    </row>
    <row r="4568" spans="13:13" x14ac:dyDescent="0.35">
      <c r="M4568" s="11"/>
    </row>
    <row r="4569" spans="13:13" x14ac:dyDescent="0.35">
      <c r="M4569" s="11"/>
    </row>
    <row r="4570" spans="13:13" x14ac:dyDescent="0.35">
      <c r="M4570" s="11"/>
    </row>
    <row r="4571" spans="13:13" x14ac:dyDescent="0.35">
      <c r="M4571" s="11"/>
    </row>
    <row r="4572" spans="13:13" x14ac:dyDescent="0.35">
      <c r="M4572" s="11"/>
    </row>
    <row r="4573" spans="13:13" x14ac:dyDescent="0.35">
      <c r="M4573" s="11"/>
    </row>
    <row r="4574" spans="13:13" x14ac:dyDescent="0.35">
      <c r="M4574" s="11"/>
    </row>
    <row r="4575" spans="13:13" x14ac:dyDescent="0.35">
      <c r="M4575" s="11"/>
    </row>
    <row r="4576" spans="13:13" x14ac:dyDescent="0.35">
      <c r="M4576" s="11"/>
    </row>
    <row r="4577" spans="13:13" x14ac:dyDescent="0.35">
      <c r="M4577" s="11"/>
    </row>
    <row r="4578" spans="13:13" x14ac:dyDescent="0.35">
      <c r="M4578" s="11"/>
    </row>
    <row r="4579" spans="13:13" x14ac:dyDescent="0.35">
      <c r="M4579" s="11"/>
    </row>
    <row r="4580" spans="13:13" x14ac:dyDescent="0.35">
      <c r="M4580" s="11"/>
    </row>
    <row r="4581" spans="13:13" x14ac:dyDescent="0.35">
      <c r="M4581" s="11"/>
    </row>
    <row r="4582" spans="13:13" x14ac:dyDescent="0.35">
      <c r="M4582" s="11"/>
    </row>
    <row r="4583" spans="13:13" x14ac:dyDescent="0.35">
      <c r="M4583" s="11"/>
    </row>
    <row r="4584" spans="13:13" x14ac:dyDescent="0.35">
      <c r="M4584" s="11"/>
    </row>
    <row r="4585" spans="13:13" x14ac:dyDescent="0.35">
      <c r="M4585" s="11"/>
    </row>
    <row r="4586" spans="13:13" x14ac:dyDescent="0.35">
      <c r="M4586" s="11"/>
    </row>
    <row r="4587" spans="13:13" x14ac:dyDescent="0.35">
      <c r="M4587" s="11"/>
    </row>
    <row r="4588" spans="13:13" x14ac:dyDescent="0.35">
      <c r="M4588" s="11"/>
    </row>
    <row r="4589" spans="13:13" x14ac:dyDescent="0.35">
      <c r="M4589" s="11"/>
    </row>
    <row r="4590" spans="13:13" x14ac:dyDescent="0.35">
      <c r="M4590" s="11"/>
    </row>
    <row r="4591" spans="13:13" x14ac:dyDescent="0.35">
      <c r="M4591" s="11"/>
    </row>
    <row r="4592" spans="13:13" x14ac:dyDescent="0.35">
      <c r="M4592" s="11"/>
    </row>
    <row r="4593" spans="13:13" x14ac:dyDescent="0.35">
      <c r="M4593" s="11"/>
    </row>
    <row r="4594" spans="13:13" x14ac:dyDescent="0.35">
      <c r="M4594" s="11"/>
    </row>
    <row r="4595" spans="13:13" x14ac:dyDescent="0.35">
      <c r="M4595" s="11"/>
    </row>
    <row r="4596" spans="13:13" x14ac:dyDescent="0.35">
      <c r="M4596" s="11"/>
    </row>
    <row r="4597" spans="13:13" x14ac:dyDescent="0.35">
      <c r="M4597" s="11"/>
    </row>
    <row r="4598" spans="13:13" x14ac:dyDescent="0.35">
      <c r="M4598" s="11"/>
    </row>
    <row r="4599" spans="13:13" x14ac:dyDescent="0.35">
      <c r="M4599" s="11"/>
    </row>
    <row r="4600" spans="13:13" x14ac:dyDescent="0.35">
      <c r="M4600" s="11"/>
    </row>
    <row r="4601" spans="13:13" x14ac:dyDescent="0.35">
      <c r="M4601" s="11"/>
    </row>
    <row r="4602" spans="13:13" x14ac:dyDescent="0.35">
      <c r="M4602" s="11"/>
    </row>
    <row r="4603" spans="13:13" x14ac:dyDescent="0.35">
      <c r="M4603" s="11"/>
    </row>
    <row r="4604" spans="13:13" x14ac:dyDescent="0.35">
      <c r="M4604" s="11"/>
    </row>
    <row r="4605" spans="13:13" x14ac:dyDescent="0.35">
      <c r="M4605" s="11"/>
    </row>
    <row r="4606" spans="13:13" x14ac:dyDescent="0.35">
      <c r="M4606" s="11"/>
    </row>
    <row r="4607" spans="13:13" x14ac:dyDescent="0.35">
      <c r="M4607" s="11"/>
    </row>
    <row r="4608" spans="13:13" x14ac:dyDescent="0.35">
      <c r="M4608" s="11"/>
    </row>
    <row r="4609" spans="13:13" x14ac:dyDescent="0.35">
      <c r="M4609" s="11"/>
    </row>
    <row r="4610" spans="13:13" x14ac:dyDescent="0.35">
      <c r="M4610" s="11"/>
    </row>
    <row r="4611" spans="13:13" x14ac:dyDescent="0.35">
      <c r="M4611" s="11"/>
    </row>
    <row r="4612" spans="13:13" x14ac:dyDescent="0.35">
      <c r="M4612" s="11"/>
    </row>
    <row r="4613" spans="13:13" x14ac:dyDescent="0.35">
      <c r="M4613" s="11"/>
    </row>
    <row r="4614" spans="13:13" x14ac:dyDescent="0.35">
      <c r="M4614" s="11"/>
    </row>
    <row r="4615" spans="13:13" x14ac:dyDescent="0.35">
      <c r="M4615" s="11"/>
    </row>
    <row r="4616" spans="13:13" x14ac:dyDescent="0.35">
      <c r="M4616" s="11"/>
    </row>
    <row r="4617" spans="13:13" x14ac:dyDescent="0.35">
      <c r="M4617" s="11"/>
    </row>
    <row r="4618" spans="13:13" x14ac:dyDescent="0.35">
      <c r="M4618" s="11"/>
    </row>
    <row r="4619" spans="13:13" x14ac:dyDescent="0.35">
      <c r="M4619" s="11"/>
    </row>
    <row r="4620" spans="13:13" x14ac:dyDescent="0.35">
      <c r="M4620" s="11"/>
    </row>
    <row r="4621" spans="13:13" x14ac:dyDescent="0.35">
      <c r="M4621" s="11"/>
    </row>
    <row r="4622" spans="13:13" x14ac:dyDescent="0.35">
      <c r="M4622" s="11"/>
    </row>
    <row r="4623" spans="13:13" x14ac:dyDescent="0.35">
      <c r="M4623" s="11"/>
    </row>
    <row r="4624" spans="13:13" x14ac:dyDescent="0.35">
      <c r="M4624" s="11"/>
    </row>
    <row r="4625" spans="13:13" x14ac:dyDescent="0.35">
      <c r="M4625" s="11"/>
    </row>
    <row r="4626" spans="13:13" x14ac:dyDescent="0.35">
      <c r="M4626" s="11"/>
    </row>
    <row r="4627" spans="13:13" x14ac:dyDescent="0.35">
      <c r="M4627" s="11"/>
    </row>
    <row r="4628" spans="13:13" x14ac:dyDescent="0.35">
      <c r="M4628" s="11"/>
    </row>
    <row r="4629" spans="13:13" x14ac:dyDescent="0.35">
      <c r="M4629" s="11"/>
    </row>
    <row r="4630" spans="13:13" x14ac:dyDescent="0.35">
      <c r="M4630" s="11"/>
    </row>
    <row r="4631" spans="13:13" x14ac:dyDescent="0.35">
      <c r="M4631" s="11"/>
    </row>
    <row r="4632" spans="13:13" x14ac:dyDescent="0.35">
      <c r="M4632" s="11"/>
    </row>
    <row r="4633" spans="13:13" x14ac:dyDescent="0.35">
      <c r="M4633" s="11"/>
    </row>
    <row r="4634" spans="13:13" x14ac:dyDescent="0.35">
      <c r="M4634" s="11"/>
    </row>
    <row r="4635" spans="13:13" x14ac:dyDescent="0.35">
      <c r="M4635" s="11"/>
    </row>
    <row r="4636" spans="13:13" x14ac:dyDescent="0.35">
      <c r="M4636" s="11"/>
    </row>
    <row r="4637" spans="13:13" x14ac:dyDescent="0.35">
      <c r="M4637" s="11"/>
    </row>
    <row r="4638" spans="13:13" x14ac:dyDescent="0.35">
      <c r="M4638" s="11"/>
    </row>
    <row r="4639" spans="13:13" x14ac:dyDescent="0.35">
      <c r="M4639" s="11"/>
    </row>
    <row r="4640" spans="13:13" x14ac:dyDescent="0.35">
      <c r="M4640" s="11"/>
    </row>
    <row r="4641" spans="13:13" x14ac:dyDescent="0.35">
      <c r="M4641" s="11"/>
    </row>
    <row r="4642" spans="13:13" x14ac:dyDescent="0.35">
      <c r="M4642" s="11"/>
    </row>
    <row r="4643" spans="13:13" x14ac:dyDescent="0.35">
      <c r="M4643" s="11"/>
    </row>
    <row r="4644" spans="13:13" x14ac:dyDescent="0.35">
      <c r="M4644" s="11"/>
    </row>
    <row r="4645" spans="13:13" x14ac:dyDescent="0.35">
      <c r="M4645" s="11"/>
    </row>
    <row r="4646" spans="13:13" x14ac:dyDescent="0.35">
      <c r="M4646" s="11"/>
    </row>
    <row r="4647" spans="13:13" x14ac:dyDescent="0.35">
      <c r="M4647" s="11"/>
    </row>
    <row r="4648" spans="13:13" x14ac:dyDescent="0.35">
      <c r="M4648" s="11"/>
    </row>
    <row r="4649" spans="13:13" x14ac:dyDescent="0.35">
      <c r="M4649" s="11"/>
    </row>
    <row r="4650" spans="13:13" x14ac:dyDescent="0.35">
      <c r="M4650" s="11"/>
    </row>
    <row r="4651" spans="13:13" x14ac:dyDescent="0.35">
      <c r="M4651" s="11"/>
    </row>
    <row r="4652" spans="13:13" x14ac:dyDescent="0.35">
      <c r="M4652" s="11"/>
    </row>
    <row r="4653" spans="13:13" x14ac:dyDescent="0.35">
      <c r="M4653" s="11"/>
    </row>
    <row r="4654" spans="13:13" x14ac:dyDescent="0.35">
      <c r="M4654" s="11"/>
    </row>
    <row r="4655" spans="13:13" x14ac:dyDescent="0.35">
      <c r="M4655" s="11"/>
    </row>
    <row r="4656" spans="13:13" x14ac:dyDescent="0.35">
      <c r="M4656" s="11"/>
    </row>
    <row r="4657" spans="13:13" x14ac:dyDescent="0.35">
      <c r="M4657" s="11"/>
    </row>
    <row r="4658" spans="13:13" x14ac:dyDescent="0.35">
      <c r="M4658" s="11"/>
    </row>
    <row r="4659" spans="13:13" x14ac:dyDescent="0.35">
      <c r="M4659" s="11"/>
    </row>
    <row r="4660" spans="13:13" x14ac:dyDescent="0.35">
      <c r="M4660" s="11"/>
    </row>
    <row r="4661" spans="13:13" x14ac:dyDescent="0.35">
      <c r="M4661" s="11"/>
    </row>
    <row r="4662" spans="13:13" x14ac:dyDescent="0.35">
      <c r="M4662" s="11"/>
    </row>
    <row r="4663" spans="13:13" x14ac:dyDescent="0.35">
      <c r="M4663" s="11"/>
    </row>
    <row r="4664" spans="13:13" x14ac:dyDescent="0.35">
      <c r="M4664" s="11"/>
    </row>
    <row r="4665" spans="13:13" x14ac:dyDescent="0.35">
      <c r="M4665" s="11"/>
    </row>
    <row r="4666" spans="13:13" x14ac:dyDescent="0.35">
      <c r="M4666" s="11"/>
    </row>
    <row r="4667" spans="13:13" x14ac:dyDescent="0.35">
      <c r="M4667" s="11"/>
    </row>
    <row r="4668" spans="13:13" x14ac:dyDescent="0.35">
      <c r="M4668" s="11"/>
    </row>
    <row r="4669" spans="13:13" x14ac:dyDescent="0.35">
      <c r="M4669" s="11"/>
    </row>
    <row r="4670" spans="13:13" x14ac:dyDescent="0.35">
      <c r="M4670" s="11"/>
    </row>
    <row r="4671" spans="13:13" x14ac:dyDescent="0.35">
      <c r="M4671" s="11"/>
    </row>
    <row r="4672" spans="13:13" x14ac:dyDescent="0.35">
      <c r="M4672" s="11"/>
    </row>
    <row r="4673" spans="13:13" x14ac:dyDescent="0.35">
      <c r="M4673" s="11"/>
    </row>
    <row r="4674" spans="13:13" x14ac:dyDescent="0.35">
      <c r="M4674" s="11"/>
    </row>
    <row r="4675" spans="13:13" x14ac:dyDescent="0.35">
      <c r="M4675" s="11"/>
    </row>
    <row r="4676" spans="13:13" x14ac:dyDescent="0.35">
      <c r="M4676" s="11"/>
    </row>
    <row r="4677" spans="13:13" x14ac:dyDescent="0.35">
      <c r="M4677" s="11"/>
    </row>
    <row r="4678" spans="13:13" x14ac:dyDescent="0.35">
      <c r="M4678" s="11"/>
    </row>
    <row r="4679" spans="13:13" x14ac:dyDescent="0.35">
      <c r="M4679" s="11"/>
    </row>
    <row r="4680" spans="13:13" x14ac:dyDescent="0.35">
      <c r="M4680" s="11"/>
    </row>
    <row r="4681" spans="13:13" x14ac:dyDescent="0.35">
      <c r="M4681" s="11"/>
    </row>
    <row r="4682" spans="13:13" x14ac:dyDescent="0.35">
      <c r="M4682" s="11"/>
    </row>
    <row r="4683" spans="13:13" x14ac:dyDescent="0.35">
      <c r="M4683" s="11"/>
    </row>
    <row r="4684" spans="13:13" x14ac:dyDescent="0.35">
      <c r="M4684" s="11"/>
    </row>
    <row r="4685" spans="13:13" x14ac:dyDescent="0.35">
      <c r="M4685" s="11"/>
    </row>
    <row r="4686" spans="13:13" x14ac:dyDescent="0.35">
      <c r="M4686" s="11"/>
    </row>
    <row r="4687" spans="13:13" x14ac:dyDescent="0.35">
      <c r="M4687" s="11"/>
    </row>
    <row r="4688" spans="13:13" x14ac:dyDescent="0.35">
      <c r="M4688" s="11"/>
    </row>
    <row r="4689" spans="13:13" x14ac:dyDescent="0.35">
      <c r="M4689" s="11"/>
    </row>
    <row r="4690" spans="13:13" x14ac:dyDescent="0.35">
      <c r="M4690" s="11"/>
    </row>
    <row r="4691" spans="13:13" x14ac:dyDescent="0.35">
      <c r="M4691" s="11"/>
    </row>
    <row r="4692" spans="13:13" x14ac:dyDescent="0.35">
      <c r="M4692" s="11"/>
    </row>
    <row r="4693" spans="13:13" x14ac:dyDescent="0.35">
      <c r="M4693" s="11"/>
    </row>
    <row r="4694" spans="13:13" x14ac:dyDescent="0.35">
      <c r="M4694" s="11"/>
    </row>
    <row r="4695" spans="13:13" x14ac:dyDescent="0.35">
      <c r="M4695" s="11"/>
    </row>
    <row r="4696" spans="13:13" x14ac:dyDescent="0.35">
      <c r="M4696" s="11"/>
    </row>
    <row r="4697" spans="13:13" x14ac:dyDescent="0.35">
      <c r="M4697" s="11"/>
    </row>
    <row r="4698" spans="13:13" x14ac:dyDescent="0.35">
      <c r="M4698" s="11"/>
    </row>
    <row r="4699" spans="13:13" x14ac:dyDescent="0.35">
      <c r="M4699" s="11"/>
    </row>
    <row r="4700" spans="13:13" x14ac:dyDescent="0.35">
      <c r="M4700" s="11"/>
    </row>
    <row r="4701" spans="13:13" x14ac:dyDescent="0.35">
      <c r="M4701" s="11"/>
    </row>
    <row r="4702" spans="13:13" x14ac:dyDescent="0.35">
      <c r="M4702" s="11"/>
    </row>
    <row r="4703" spans="13:13" x14ac:dyDescent="0.35">
      <c r="M4703" s="11"/>
    </row>
    <row r="4704" spans="13:13" x14ac:dyDescent="0.35">
      <c r="M4704" s="11"/>
    </row>
    <row r="4705" spans="13:13" x14ac:dyDescent="0.35">
      <c r="M4705" s="11"/>
    </row>
    <row r="4706" spans="13:13" x14ac:dyDescent="0.35">
      <c r="M4706" s="11"/>
    </row>
    <row r="4707" spans="13:13" x14ac:dyDescent="0.35">
      <c r="M4707" s="11"/>
    </row>
    <row r="4708" spans="13:13" x14ac:dyDescent="0.35">
      <c r="M4708" s="11"/>
    </row>
    <row r="4709" spans="13:13" x14ac:dyDescent="0.35">
      <c r="M4709" s="11"/>
    </row>
    <row r="4710" spans="13:13" x14ac:dyDescent="0.35">
      <c r="M4710" s="11"/>
    </row>
    <row r="4711" spans="13:13" x14ac:dyDescent="0.35">
      <c r="M4711" s="11"/>
    </row>
    <row r="4712" spans="13:13" x14ac:dyDescent="0.35">
      <c r="M4712" s="11"/>
    </row>
    <row r="4713" spans="13:13" x14ac:dyDescent="0.35">
      <c r="M4713" s="11"/>
    </row>
    <row r="4714" spans="13:13" x14ac:dyDescent="0.35">
      <c r="M4714" s="11"/>
    </row>
    <row r="4715" spans="13:13" x14ac:dyDescent="0.35">
      <c r="M4715" s="11"/>
    </row>
    <row r="4716" spans="13:13" x14ac:dyDescent="0.35">
      <c r="M4716" s="11"/>
    </row>
    <row r="4717" spans="13:13" x14ac:dyDescent="0.35">
      <c r="M4717" s="11"/>
    </row>
    <row r="4718" spans="13:13" x14ac:dyDescent="0.35">
      <c r="M4718" s="11"/>
    </row>
    <row r="4719" spans="13:13" x14ac:dyDescent="0.35">
      <c r="M4719" s="11"/>
    </row>
    <row r="4720" spans="13:13" x14ac:dyDescent="0.35">
      <c r="M4720" s="11"/>
    </row>
    <row r="4721" spans="13:13" x14ac:dyDescent="0.35">
      <c r="M4721" s="11"/>
    </row>
    <row r="4722" spans="13:13" x14ac:dyDescent="0.35">
      <c r="M4722" s="11"/>
    </row>
    <row r="4723" spans="13:13" x14ac:dyDescent="0.35">
      <c r="M4723" s="11"/>
    </row>
    <row r="4724" spans="13:13" x14ac:dyDescent="0.35">
      <c r="M4724" s="11"/>
    </row>
    <row r="4725" spans="13:13" x14ac:dyDescent="0.35">
      <c r="M4725" s="11"/>
    </row>
    <row r="4726" spans="13:13" x14ac:dyDescent="0.35">
      <c r="M4726" s="11"/>
    </row>
    <row r="4727" spans="13:13" x14ac:dyDescent="0.35">
      <c r="M4727" s="11"/>
    </row>
    <row r="4728" spans="13:13" x14ac:dyDescent="0.35">
      <c r="M4728" s="11"/>
    </row>
    <row r="4729" spans="13:13" x14ac:dyDescent="0.35">
      <c r="M4729" s="11"/>
    </row>
    <row r="4730" spans="13:13" x14ac:dyDescent="0.35">
      <c r="M4730" s="11"/>
    </row>
    <row r="4731" spans="13:13" x14ac:dyDescent="0.35">
      <c r="M4731" s="11"/>
    </row>
    <row r="4732" spans="13:13" x14ac:dyDescent="0.35">
      <c r="M4732" s="11"/>
    </row>
    <row r="4733" spans="13:13" x14ac:dyDescent="0.35">
      <c r="M4733" s="11"/>
    </row>
    <row r="4734" spans="13:13" x14ac:dyDescent="0.35">
      <c r="M4734" s="11"/>
    </row>
    <row r="4735" spans="13:13" x14ac:dyDescent="0.35">
      <c r="M4735" s="11"/>
    </row>
    <row r="4736" spans="13:13" x14ac:dyDescent="0.35">
      <c r="M4736" s="11"/>
    </row>
    <row r="4737" spans="13:13" x14ac:dyDescent="0.35">
      <c r="M4737" s="11"/>
    </row>
    <row r="4738" spans="13:13" x14ac:dyDescent="0.35">
      <c r="M4738" s="11"/>
    </row>
    <row r="4739" spans="13:13" x14ac:dyDescent="0.35">
      <c r="M4739" s="11"/>
    </row>
    <row r="4740" spans="13:13" x14ac:dyDescent="0.35">
      <c r="M4740" s="11"/>
    </row>
    <row r="4741" spans="13:13" x14ac:dyDescent="0.35">
      <c r="M4741" s="11"/>
    </row>
    <row r="4742" spans="13:13" x14ac:dyDescent="0.35">
      <c r="M4742" s="11"/>
    </row>
    <row r="4743" spans="13:13" x14ac:dyDescent="0.35">
      <c r="M4743" s="11"/>
    </row>
    <row r="4744" spans="13:13" x14ac:dyDescent="0.35">
      <c r="M4744" s="11"/>
    </row>
    <row r="4745" spans="13:13" x14ac:dyDescent="0.35">
      <c r="M4745" s="11"/>
    </row>
    <row r="4746" spans="13:13" x14ac:dyDescent="0.35">
      <c r="M4746" s="11"/>
    </row>
    <row r="4747" spans="13:13" x14ac:dyDescent="0.35">
      <c r="M4747" s="11"/>
    </row>
    <row r="4748" spans="13:13" x14ac:dyDescent="0.35">
      <c r="M4748" s="11"/>
    </row>
    <row r="4749" spans="13:13" x14ac:dyDescent="0.35">
      <c r="M4749" s="11"/>
    </row>
    <row r="4750" spans="13:13" x14ac:dyDescent="0.35">
      <c r="M4750" s="11"/>
    </row>
    <row r="4751" spans="13:13" x14ac:dyDescent="0.35">
      <c r="M4751" s="11"/>
    </row>
    <row r="4752" spans="13:13" x14ac:dyDescent="0.35">
      <c r="M4752" s="11"/>
    </row>
    <row r="4753" spans="13:13" x14ac:dyDescent="0.35">
      <c r="M4753" s="11"/>
    </row>
    <row r="4754" spans="13:13" x14ac:dyDescent="0.35">
      <c r="M4754" s="11"/>
    </row>
    <row r="4755" spans="13:13" x14ac:dyDescent="0.35">
      <c r="M4755" s="11"/>
    </row>
    <row r="4756" spans="13:13" x14ac:dyDescent="0.35">
      <c r="M4756" s="11"/>
    </row>
    <row r="4757" spans="13:13" x14ac:dyDescent="0.35">
      <c r="M4757" s="11"/>
    </row>
    <row r="4758" spans="13:13" x14ac:dyDescent="0.35">
      <c r="M4758" s="11"/>
    </row>
    <row r="4759" spans="13:13" x14ac:dyDescent="0.35">
      <c r="M4759" s="11"/>
    </row>
    <row r="4760" spans="13:13" x14ac:dyDescent="0.35">
      <c r="M4760" s="11"/>
    </row>
    <row r="4761" spans="13:13" x14ac:dyDescent="0.35">
      <c r="M4761" s="11"/>
    </row>
    <row r="4762" spans="13:13" x14ac:dyDescent="0.35">
      <c r="M4762" s="11"/>
    </row>
    <row r="4763" spans="13:13" x14ac:dyDescent="0.35">
      <c r="M4763" s="11"/>
    </row>
    <row r="4764" spans="13:13" x14ac:dyDescent="0.35">
      <c r="M4764" s="11"/>
    </row>
    <row r="4765" spans="13:13" x14ac:dyDescent="0.35">
      <c r="M4765" s="11"/>
    </row>
    <row r="4766" spans="13:13" x14ac:dyDescent="0.35">
      <c r="M4766" s="11"/>
    </row>
    <row r="4767" spans="13:13" x14ac:dyDescent="0.35">
      <c r="M4767" s="11"/>
    </row>
    <row r="4768" spans="13:13" x14ac:dyDescent="0.35">
      <c r="M4768" s="11"/>
    </row>
    <row r="4769" spans="13:13" x14ac:dyDescent="0.35">
      <c r="M4769" s="11"/>
    </row>
    <row r="4770" spans="13:13" x14ac:dyDescent="0.35">
      <c r="M4770" s="11"/>
    </row>
    <row r="4771" spans="13:13" x14ac:dyDescent="0.35">
      <c r="M4771" s="11"/>
    </row>
    <row r="4772" spans="13:13" x14ac:dyDescent="0.35">
      <c r="M4772" s="11"/>
    </row>
    <row r="4773" spans="13:13" x14ac:dyDescent="0.35">
      <c r="M4773" s="11"/>
    </row>
    <row r="4774" spans="13:13" x14ac:dyDescent="0.35">
      <c r="M4774" s="11"/>
    </row>
    <row r="4775" spans="13:13" x14ac:dyDescent="0.35">
      <c r="M4775" s="11"/>
    </row>
    <row r="4776" spans="13:13" x14ac:dyDescent="0.35">
      <c r="M4776" s="11"/>
    </row>
    <row r="4777" spans="13:13" x14ac:dyDescent="0.35">
      <c r="M4777" s="11"/>
    </row>
    <row r="4778" spans="13:13" x14ac:dyDescent="0.35">
      <c r="M4778" s="11"/>
    </row>
    <row r="4779" spans="13:13" x14ac:dyDescent="0.35">
      <c r="M4779" s="11"/>
    </row>
    <row r="4780" spans="13:13" x14ac:dyDescent="0.35">
      <c r="M4780" s="11"/>
    </row>
    <row r="4781" spans="13:13" x14ac:dyDescent="0.35">
      <c r="M4781" s="11"/>
    </row>
    <row r="4782" spans="13:13" x14ac:dyDescent="0.35">
      <c r="M4782" s="11"/>
    </row>
    <row r="4783" spans="13:13" x14ac:dyDescent="0.35">
      <c r="M4783" s="11"/>
    </row>
    <row r="4784" spans="13:13" x14ac:dyDescent="0.35">
      <c r="M4784" s="11"/>
    </row>
    <row r="4785" spans="13:13" x14ac:dyDescent="0.35">
      <c r="M4785" s="11"/>
    </row>
    <row r="4786" spans="13:13" x14ac:dyDescent="0.35">
      <c r="M4786" s="11"/>
    </row>
    <row r="4787" spans="13:13" x14ac:dyDescent="0.35">
      <c r="M4787" s="11"/>
    </row>
    <row r="4788" spans="13:13" x14ac:dyDescent="0.35">
      <c r="M4788" s="11"/>
    </row>
    <row r="4789" spans="13:13" x14ac:dyDescent="0.35">
      <c r="M4789" s="11"/>
    </row>
    <row r="4790" spans="13:13" x14ac:dyDescent="0.35">
      <c r="M4790" s="11"/>
    </row>
    <row r="4791" spans="13:13" x14ac:dyDescent="0.35">
      <c r="M4791" s="11"/>
    </row>
    <row r="4792" spans="13:13" x14ac:dyDescent="0.35">
      <c r="M4792" s="11"/>
    </row>
    <row r="4793" spans="13:13" x14ac:dyDescent="0.35">
      <c r="M4793" s="11"/>
    </row>
    <row r="4794" spans="13:13" x14ac:dyDescent="0.35">
      <c r="M4794" s="11"/>
    </row>
    <row r="4795" spans="13:13" x14ac:dyDescent="0.35">
      <c r="M4795" s="11"/>
    </row>
    <row r="4796" spans="13:13" x14ac:dyDescent="0.35">
      <c r="M4796" s="11"/>
    </row>
    <row r="4797" spans="13:13" x14ac:dyDescent="0.35">
      <c r="M4797" s="11"/>
    </row>
    <row r="4798" spans="13:13" x14ac:dyDescent="0.35">
      <c r="M4798" s="11"/>
    </row>
    <row r="4799" spans="13:13" x14ac:dyDescent="0.35">
      <c r="M4799" s="11"/>
    </row>
    <row r="4800" spans="13:13" x14ac:dyDescent="0.35">
      <c r="M4800" s="11"/>
    </row>
    <row r="4801" spans="13:13" x14ac:dyDescent="0.35">
      <c r="M4801" s="11"/>
    </row>
    <row r="4802" spans="13:13" x14ac:dyDescent="0.35">
      <c r="M4802" s="11"/>
    </row>
    <row r="4803" spans="13:13" x14ac:dyDescent="0.35">
      <c r="M4803" s="11"/>
    </row>
    <row r="4804" spans="13:13" x14ac:dyDescent="0.35">
      <c r="M4804" s="11"/>
    </row>
    <row r="4805" spans="13:13" x14ac:dyDescent="0.35">
      <c r="M4805" s="11"/>
    </row>
    <row r="4806" spans="13:13" x14ac:dyDescent="0.35">
      <c r="M4806" s="11"/>
    </row>
    <row r="4807" spans="13:13" x14ac:dyDescent="0.35">
      <c r="M4807" s="11"/>
    </row>
    <row r="4808" spans="13:13" x14ac:dyDescent="0.35">
      <c r="M4808" s="11"/>
    </row>
    <row r="4809" spans="13:13" x14ac:dyDescent="0.35">
      <c r="M4809" s="11"/>
    </row>
    <row r="4810" spans="13:13" x14ac:dyDescent="0.35">
      <c r="M4810" s="11"/>
    </row>
    <row r="4811" spans="13:13" x14ac:dyDescent="0.35">
      <c r="M4811" s="11"/>
    </row>
    <row r="4812" spans="13:13" x14ac:dyDescent="0.35">
      <c r="M4812" s="11"/>
    </row>
    <row r="4813" spans="13:13" x14ac:dyDescent="0.35">
      <c r="M4813" s="11"/>
    </row>
    <row r="4814" spans="13:13" x14ac:dyDescent="0.35">
      <c r="M4814" s="11"/>
    </row>
    <row r="4815" spans="13:13" x14ac:dyDescent="0.35">
      <c r="M4815" s="11"/>
    </row>
    <row r="4816" spans="13:13" x14ac:dyDescent="0.35">
      <c r="M4816" s="11"/>
    </row>
    <row r="4817" spans="13:13" x14ac:dyDescent="0.35">
      <c r="M4817" s="11"/>
    </row>
    <row r="4818" spans="13:13" x14ac:dyDescent="0.35">
      <c r="M4818" s="11"/>
    </row>
    <row r="4819" spans="13:13" x14ac:dyDescent="0.35">
      <c r="M4819" s="11"/>
    </row>
    <row r="4820" spans="13:13" x14ac:dyDescent="0.35">
      <c r="M4820" s="11"/>
    </row>
    <row r="4821" spans="13:13" x14ac:dyDescent="0.35">
      <c r="M4821" s="11"/>
    </row>
    <row r="4822" spans="13:13" x14ac:dyDescent="0.35">
      <c r="M4822" s="11"/>
    </row>
    <row r="4823" spans="13:13" x14ac:dyDescent="0.35">
      <c r="M4823" s="11"/>
    </row>
    <row r="4824" spans="13:13" x14ac:dyDescent="0.35">
      <c r="M4824" s="11"/>
    </row>
    <row r="4825" spans="13:13" x14ac:dyDescent="0.35">
      <c r="M4825" s="11"/>
    </row>
    <row r="4826" spans="13:13" x14ac:dyDescent="0.35">
      <c r="M4826" s="11"/>
    </row>
    <row r="4827" spans="13:13" x14ac:dyDescent="0.35">
      <c r="M4827" s="11"/>
    </row>
    <row r="4828" spans="13:13" x14ac:dyDescent="0.35">
      <c r="M4828" s="11"/>
    </row>
    <row r="4829" spans="13:13" x14ac:dyDescent="0.35">
      <c r="M4829" s="11"/>
    </row>
    <row r="4830" spans="13:13" x14ac:dyDescent="0.35">
      <c r="M4830" s="11"/>
    </row>
    <row r="4831" spans="13:13" x14ac:dyDescent="0.35">
      <c r="M4831" s="11"/>
    </row>
    <row r="4832" spans="13:13" x14ac:dyDescent="0.35">
      <c r="M4832" s="11"/>
    </row>
    <row r="4833" spans="13:13" x14ac:dyDescent="0.35">
      <c r="M4833" s="11"/>
    </row>
    <row r="4834" spans="13:13" x14ac:dyDescent="0.35">
      <c r="M4834" s="11"/>
    </row>
    <row r="4835" spans="13:13" x14ac:dyDescent="0.35">
      <c r="M4835" s="11"/>
    </row>
    <row r="4836" spans="13:13" x14ac:dyDescent="0.35">
      <c r="M4836" s="11"/>
    </row>
    <row r="4837" spans="13:13" x14ac:dyDescent="0.35">
      <c r="M4837" s="11"/>
    </row>
    <row r="4838" spans="13:13" x14ac:dyDescent="0.35">
      <c r="M4838" s="11"/>
    </row>
    <row r="4839" spans="13:13" x14ac:dyDescent="0.35">
      <c r="M4839" s="11"/>
    </row>
    <row r="4840" spans="13:13" x14ac:dyDescent="0.35">
      <c r="M4840" s="11"/>
    </row>
    <row r="4841" spans="13:13" x14ac:dyDescent="0.35">
      <c r="M4841" s="11"/>
    </row>
    <row r="4842" spans="13:13" x14ac:dyDescent="0.35">
      <c r="M4842" s="11"/>
    </row>
    <row r="4843" spans="13:13" x14ac:dyDescent="0.35">
      <c r="M4843" s="11"/>
    </row>
    <row r="4844" spans="13:13" x14ac:dyDescent="0.35">
      <c r="M4844" s="11"/>
    </row>
    <row r="4845" spans="13:13" x14ac:dyDescent="0.35">
      <c r="M4845" s="11"/>
    </row>
    <row r="4846" spans="13:13" x14ac:dyDescent="0.35">
      <c r="M4846" s="11"/>
    </row>
    <row r="4847" spans="13:13" x14ac:dyDescent="0.35">
      <c r="M4847" s="11"/>
    </row>
    <row r="4848" spans="13:13" x14ac:dyDescent="0.35">
      <c r="M4848" s="11"/>
    </row>
    <row r="4849" spans="13:13" x14ac:dyDescent="0.35">
      <c r="M4849" s="11"/>
    </row>
    <row r="4850" spans="13:13" x14ac:dyDescent="0.35">
      <c r="M4850" s="11"/>
    </row>
    <row r="4851" spans="13:13" x14ac:dyDescent="0.35">
      <c r="M4851" s="11"/>
    </row>
    <row r="4852" spans="13:13" x14ac:dyDescent="0.35">
      <c r="M4852" s="11"/>
    </row>
    <row r="4853" spans="13:13" x14ac:dyDescent="0.35">
      <c r="M4853" s="11"/>
    </row>
    <row r="4854" spans="13:13" x14ac:dyDescent="0.35">
      <c r="M4854" s="11"/>
    </row>
    <row r="4855" spans="13:13" x14ac:dyDescent="0.35">
      <c r="M4855" s="11"/>
    </row>
    <row r="4856" spans="13:13" x14ac:dyDescent="0.35">
      <c r="M4856" s="11"/>
    </row>
    <row r="4857" spans="13:13" x14ac:dyDescent="0.35">
      <c r="M4857" s="11"/>
    </row>
    <row r="4858" spans="13:13" x14ac:dyDescent="0.35">
      <c r="M4858" s="11"/>
    </row>
    <row r="4859" spans="13:13" x14ac:dyDescent="0.35">
      <c r="M4859" s="11"/>
    </row>
    <row r="4860" spans="13:13" x14ac:dyDescent="0.35">
      <c r="M4860" s="11"/>
    </row>
    <row r="4861" spans="13:13" x14ac:dyDescent="0.35">
      <c r="M4861" s="11"/>
    </row>
    <row r="4862" spans="13:13" x14ac:dyDescent="0.35">
      <c r="M4862" s="11"/>
    </row>
    <row r="4863" spans="13:13" x14ac:dyDescent="0.35">
      <c r="M4863" s="11"/>
    </row>
    <row r="4864" spans="13:13" x14ac:dyDescent="0.35">
      <c r="M4864" s="11"/>
    </row>
    <row r="4865" spans="13:13" x14ac:dyDescent="0.35">
      <c r="M4865" s="11"/>
    </row>
    <row r="4866" spans="13:13" x14ac:dyDescent="0.35">
      <c r="M4866" s="11"/>
    </row>
    <row r="4867" spans="13:13" x14ac:dyDescent="0.35">
      <c r="M4867" s="11"/>
    </row>
    <row r="4868" spans="13:13" x14ac:dyDescent="0.35">
      <c r="M4868" s="11"/>
    </row>
    <row r="4869" spans="13:13" x14ac:dyDescent="0.35">
      <c r="M4869" s="11"/>
    </row>
    <row r="4870" spans="13:13" x14ac:dyDescent="0.35">
      <c r="M4870" s="11"/>
    </row>
    <row r="4871" spans="13:13" x14ac:dyDescent="0.35">
      <c r="M4871" s="11"/>
    </row>
    <row r="4872" spans="13:13" x14ac:dyDescent="0.35">
      <c r="M4872" s="11"/>
    </row>
    <row r="4873" spans="13:13" x14ac:dyDescent="0.35">
      <c r="M4873" s="11"/>
    </row>
    <row r="4874" spans="13:13" x14ac:dyDescent="0.35">
      <c r="M4874" s="11"/>
    </row>
    <row r="4875" spans="13:13" x14ac:dyDescent="0.35">
      <c r="M4875" s="11"/>
    </row>
    <row r="4876" spans="13:13" x14ac:dyDescent="0.35">
      <c r="M4876" s="11"/>
    </row>
    <row r="4877" spans="13:13" x14ac:dyDescent="0.35">
      <c r="M4877" s="11"/>
    </row>
    <row r="4878" spans="13:13" x14ac:dyDescent="0.35">
      <c r="M4878" s="11"/>
    </row>
    <row r="4879" spans="13:13" x14ac:dyDescent="0.35">
      <c r="M4879" s="11"/>
    </row>
    <row r="4880" spans="13:13" x14ac:dyDescent="0.35">
      <c r="M4880" s="11"/>
    </row>
    <row r="4881" spans="13:13" x14ac:dyDescent="0.35">
      <c r="M4881" s="11"/>
    </row>
    <row r="4882" spans="13:13" x14ac:dyDescent="0.35">
      <c r="M4882" s="11"/>
    </row>
    <row r="4883" spans="13:13" x14ac:dyDescent="0.35">
      <c r="M4883" s="11"/>
    </row>
    <row r="4884" spans="13:13" x14ac:dyDescent="0.35">
      <c r="M4884" s="11"/>
    </row>
    <row r="4885" spans="13:13" x14ac:dyDescent="0.35">
      <c r="M4885" s="11"/>
    </row>
    <row r="4886" spans="13:13" x14ac:dyDescent="0.35">
      <c r="M4886" s="11"/>
    </row>
    <row r="4887" spans="13:13" x14ac:dyDescent="0.35">
      <c r="M4887" s="11"/>
    </row>
    <row r="4888" spans="13:13" x14ac:dyDescent="0.35">
      <c r="M4888" s="11"/>
    </row>
    <row r="4889" spans="13:13" x14ac:dyDescent="0.35">
      <c r="M4889" s="11"/>
    </row>
    <row r="4890" spans="13:13" x14ac:dyDescent="0.35">
      <c r="M4890" s="11"/>
    </row>
    <row r="4891" spans="13:13" x14ac:dyDescent="0.35">
      <c r="M4891" s="11"/>
    </row>
    <row r="4892" spans="13:13" x14ac:dyDescent="0.35">
      <c r="M4892" s="11"/>
    </row>
    <row r="4893" spans="13:13" x14ac:dyDescent="0.35">
      <c r="M4893" s="11"/>
    </row>
    <row r="4894" spans="13:13" x14ac:dyDescent="0.35">
      <c r="M4894" s="11"/>
    </row>
    <row r="4895" spans="13:13" x14ac:dyDescent="0.35">
      <c r="M4895" s="11"/>
    </row>
    <row r="4896" spans="13:13" x14ac:dyDescent="0.35">
      <c r="M4896" s="11"/>
    </row>
    <row r="4897" spans="13:13" x14ac:dyDescent="0.35">
      <c r="M4897" s="11"/>
    </row>
    <row r="4898" spans="13:13" x14ac:dyDescent="0.35">
      <c r="M4898" s="11"/>
    </row>
    <row r="4899" spans="13:13" x14ac:dyDescent="0.35">
      <c r="M4899" s="11"/>
    </row>
    <row r="4900" spans="13:13" x14ac:dyDescent="0.35">
      <c r="M4900" s="11"/>
    </row>
    <row r="4901" spans="13:13" x14ac:dyDescent="0.35">
      <c r="M4901" s="11"/>
    </row>
    <row r="4902" spans="13:13" x14ac:dyDescent="0.35">
      <c r="M4902" s="11"/>
    </row>
    <row r="4903" spans="13:13" x14ac:dyDescent="0.35">
      <c r="M4903" s="11"/>
    </row>
    <row r="4904" spans="13:13" x14ac:dyDescent="0.35">
      <c r="M4904" s="11"/>
    </row>
    <row r="4905" spans="13:13" x14ac:dyDescent="0.35">
      <c r="M4905" s="11"/>
    </row>
    <row r="4906" spans="13:13" x14ac:dyDescent="0.35">
      <c r="M4906" s="11"/>
    </row>
    <row r="4907" spans="13:13" x14ac:dyDescent="0.35">
      <c r="M4907" s="11"/>
    </row>
    <row r="4908" spans="13:13" x14ac:dyDescent="0.35">
      <c r="M4908" s="11"/>
    </row>
    <row r="4909" spans="13:13" x14ac:dyDescent="0.35">
      <c r="M4909" s="11"/>
    </row>
    <row r="4910" spans="13:13" x14ac:dyDescent="0.35">
      <c r="M4910" s="11"/>
    </row>
    <row r="4911" spans="13:13" x14ac:dyDescent="0.35">
      <c r="M4911" s="11"/>
    </row>
    <row r="4912" spans="13:13" x14ac:dyDescent="0.35">
      <c r="M4912" s="11"/>
    </row>
    <row r="4913" spans="13:13" x14ac:dyDescent="0.35">
      <c r="M4913" s="11"/>
    </row>
    <row r="4914" spans="13:13" x14ac:dyDescent="0.35">
      <c r="M4914" s="11"/>
    </row>
    <row r="4915" spans="13:13" x14ac:dyDescent="0.35">
      <c r="M4915" s="11"/>
    </row>
    <row r="4916" spans="13:13" x14ac:dyDescent="0.35">
      <c r="M4916" s="11"/>
    </row>
    <row r="4917" spans="13:13" x14ac:dyDescent="0.35">
      <c r="M4917" s="11"/>
    </row>
    <row r="4918" spans="13:13" x14ac:dyDescent="0.35">
      <c r="M4918" s="11"/>
    </row>
    <row r="4919" spans="13:13" x14ac:dyDescent="0.35">
      <c r="M4919" s="11"/>
    </row>
    <row r="4920" spans="13:13" x14ac:dyDescent="0.35">
      <c r="M4920" s="11"/>
    </row>
    <row r="4921" spans="13:13" x14ac:dyDescent="0.35">
      <c r="M4921" s="11"/>
    </row>
    <row r="4922" spans="13:13" x14ac:dyDescent="0.35">
      <c r="M4922" s="11"/>
    </row>
    <row r="4923" spans="13:13" x14ac:dyDescent="0.35">
      <c r="M4923" s="11"/>
    </row>
    <row r="4924" spans="13:13" x14ac:dyDescent="0.35">
      <c r="M4924" s="11"/>
    </row>
    <row r="4925" spans="13:13" x14ac:dyDescent="0.35">
      <c r="M4925" s="11"/>
    </row>
    <row r="4926" spans="13:13" x14ac:dyDescent="0.35">
      <c r="M4926" s="11"/>
    </row>
    <row r="4927" spans="13:13" x14ac:dyDescent="0.35">
      <c r="M4927" s="11"/>
    </row>
    <row r="4928" spans="13:13" x14ac:dyDescent="0.35">
      <c r="M4928" s="11"/>
    </row>
    <row r="4929" spans="13:13" x14ac:dyDescent="0.35">
      <c r="M4929" s="11"/>
    </row>
    <row r="4930" spans="13:13" x14ac:dyDescent="0.35">
      <c r="M4930" s="11"/>
    </row>
    <row r="4931" spans="13:13" x14ac:dyDescent="0.35">
      <c r="M4931" s="11"/>
    </row>
    <row r="4932" spans="13:13" x14ac:dyDescent="0.35">
      <c r="M4932" s="11"/>
    </row>
    <row r="4933" spans="13:13" x14ac:dyDescent="0.35">
      <c r="M4933" s="11"/>
    </row>
    <row r="4934" spans="13:13" x14ac:dyDescent="0.35">
      <c r="M4934" s="11"/>
    </row>
    <row r="4935" spans="13:13" x14ac:dyDescent="0.35">
      <c r="M4935" s="11"/>
    </row>
    <row r="4936" spans="13:13" x14ac:dyDescent="0.35">
      <c r="M4936" s="11"/>
    </row>
    <row r="4937" spans="13:13" x14ac:dyDescent="0.35">
      <c r="M4937" s="11"/>
    </row>
    <row r="4938" spans="13:13" x14ac:dyDescent="0.35">
      <c r="M4938" s="11"/>
    </row>
    <row r="4939" spans="13:13" x14ac:dyDescent="0.35">
      <c r="M4939" s="11"/>
    </row>
    <row r="4940" spans="13:13" x14ac:dyDescent="0.35">
      <c r="M4940" s="11"/>
    </row>
    <row r="4941" spans="13:13" x14ac:dyDescent="0.35">
      <c r="M4941" s="11"/>
    </row>
    <row r="4942" spans="13:13" x14ac:dyDescent="0.35">
      <c r="M4942" s="11"/>
    </row>
    <row r="4943" spans="13:13" x14ac:dyDescent="0.35">
      <c r="M4943" s="11"/>
    </row>
    <row r="4944" spans="13:13" x14ac:dyDescent="0.35">
      <c r="M4944" s="11"/>
    </row>
    <row r="4945" spans="13:13" x14ac:dyDescent="0.35">
      <c r="M4945" s="11"/>
    </row>
    <row r="4946" spans="13:13" x14ac:dyDescent="0.35">
      <c r="M4946" s="11"/>
    </row>
    <row r="4947" spans="13:13" x14ac:dyDescent="0.35">
      <c r="M4947" s="11"/>
    </row>
    <row r="4948" spans="13:13" x14ac:dyDescent="0.35">
      <c r="M4948" s="11"/>
    </row>
    <row r="4949" spans="13:13" x14ac:dyDescent="0.35">
      <c r="M4949" s="11"/>
    </row>
    <row r="4950" spans="13:13" x14ac:dyDescent="0.35">
      <c r="M4950" s="11"/>
    </row>
    <row r="4951" spans="13:13" x14ac:dyDescent="0.35">
      <c r="M4951" s="11"/>
    </row>
    <row r="4952" spans="13:13" x14ac:dyDescent="0.35">
      <c r="M4952" s="11"/>
    </row>
    <row r="4953" spans="13:13" x14ac:dyDescent="0.35">
      <c r="M4953" s="11"/>
    </row>
    <row r="4954" spans="13:13" x14ac:dyDescent="0.35">
      <c r="M4954" s="11"/>
    </row>
    <row r="4955" spans="13:13" x14ac:dyDescent="0.35">
      <c r="M4955" s="11"/>
    </row>
    <row r="4956" spans="13:13" x14ac:dyDescent="0.35">
      <c r="M4956" s="11"/>
    </row>
    <row r="4957" spans="13:13" x14ac:dyDescent="0.35">
      <c r="M4957" s="11"/>
    </row>
    <row r="4958" spans="13:13" x14ac:dyDescent="0.35">
      <c r="M4958" s="11"/>
    </row>
    <row r="4959" spans="13:13" x14ac:dyDescent="0.35">
      <c r="M4959" s="11"/>
    </row>
    <row r="4960" spans="13:13" x14ac:dyDescent="0.35">
      <c r="M4960" s="11"/>
    </row>
    <row r="4961" spans="13:13" x14ac:dyDescent="0.35">
      <c r="M4961" s="11"/>
    </row>
    <row r="4962" spans="13:13" x14ac:dyDescent="0.35">
      <c r="M4962" s="11"/>
    </row>
    <row r="4963" spans="13:13" x14ac:dyDescent="0.35">
      <c r="M4963" s="11"/>
    </row>
    <row r="4964" spans="13:13" x14ac:dyDescent="0.35">
      <c r="M4964" s="11"/>
    </row>
    <row r="4965" spans="13:13" x14ac:dyDescent="0.35">
      <c r="M4965" s="11"/>
    </row>
    <row r="4966" spans="13:13" x14ac:dyDescent="0.35">
      <c r="M4966" s="11"/>
    </row>
    <row r="4967" spans="13:13" x14ac:dyDescent="0.35">
      <c r="M4967" s="11"/>
    </row>
    <row r="4968" spans="13:13" x14ac:dyDescent="0.35">
      <c r="M4968" s="11"/>
    </row>
    <row r="4969" spans="13:13" x14ac:dyDescent="0.35">
      <c r="M4969" s="11"/>
    </row>
    <row r="4970" spans="13:13" x14ac:dyDescent="0.35">
      <c r="M4970" s="11"/>
    </row>
    <row r="4971" spans="13:13" x14ac:dyDescent="0.35">
      <c r="M4971" s="11"/>
    </row>
    <row r="4972" spans="13:13" x14ac:dyDescent="0.35">
      <c r="M4972" s="11"/>
    </row>
    <row r="4973" spans="13:13" x14ac:dyDescent="0.35">
      <c r="M4973" s="11"/>
    </row>
    <row r="4974" spans="13:13" x14ac:dyDescent="0.35">
      <c r="M4974" s="11"/>
    </row>
    <row r="4975" spans="13:13" x14ac:dyDescent="0.35">
      <c r="M4975" s="11"/>
    </row>
    <row r="4976" spans="13:13" x14ac:dyDescent="0.35">
      <c r="M4976" s="11"/>
    </row>
    <row r="4977" spans="13:13" x14ac:dyDescent="0.35">
      <c r="M4977" s="11"/>
    </row>
    <row r="4978" spans="13:13" x14ac:dyDescent="0.35">
      <c r="M4978" s="11"/>
    </row>
    <row r="4979" spans="13:13" x14ac:dyDescent="0.35">
      <c r="M4979" s="11"/>
    </row>
    <row r="4980" spans="13:13" x14ac:dyDescent="0.35">
      <c r="M4980" s="11"/>
    </row>
    <row r="4981" spans="13:13" x14ac:dyDescent="0.35">
      <c r="M4981" s="11"/>
    </row>
    <row r="4982" spans="13:13" x14ac:dyDescent="0.35">
      <c r="M4982" s="11"/>
    </row>
    <row r="4983" spans="13:13" x14ac:dyDescent="0.35">
      <c r="M4983" s="11"/>
    </row>
    <row r="4984" spans="13:13" x14ac:dyDescent="0.35">
      <c r="M4984" s="11"/>
    </row>
    <row r="4985" spans="13:13" x14ac:dyDescent="0.35">
      <c r="M4985" s="11"/>
    </row>
    <row r="4986" spans="13:13" x14ac:dyDescent="0.35">
      <c r="M4986" s="11"/>
    </row>
    <row r="4987" spans="13:13" x14ac:dyDescent="0.35">
      <c r="M4987" s="11"/>
    </row>
    <row r="4988" spans="13:13" x14ac:dyDescent="0.35">
      <c r="M4988" s="11"/>
    </row>
    <row r="4989" spans="13:13" x14ac:dyDescent="0.35">
      <c r="M4989" s="11"/>
    </row>
    <row r="4990" spans="13:13" x14ac:dyDescent="0.35">
      <c r="M4990" s="11"/>
    </row>
    <row r="4991" spans="13:13" x14ac:dyDescent="0.35">
      <c r="M4991" s="11"/>
    </row>
    <row r="4992" spans="13:13" x14ac:dyDescent="0.35">
      <c r="M4992" s="11"/>
    </row>
    <row r="4993" spans="13:13" x14ac:dyDescent="0.35">
      <c r="M4993" s="11"/>
    </row>
    <row r="4994" spans="13:13" x14ac:dyDescent="0.35">
      <c r="M4994" s="11"/>
    </row>
    <row r="4995" spans="13:13" x14ac:dyDescent="0.35">
      <c r="M4995" s="11"/>
    </row>
    <row r="4996" spans="13:13" x14ac:dyDescent="0.35">
      <c r="M4996" s="11"/>
    </row>
    <row r="4997" spans="13:13" x14ac:dyDescent="0.35">
      <c r="M4997" s="11"/>
    </row>
    <row r="4998" spans="13:13" x14ac:dyDescent="0.35">
      <c r="M4998" s="11"/>
    </row>
    <row r="4999" spans="13:13" x14ac:dyDescent="0.35">
      <c r="M4999" s="11"/>
    </row>
    <row r="5000" spans="13:13" x14ac:dyDescent="0.35">
      <c r="M5000" s="11"/>
    </row>
    <row r="5001" spans="13:13" x14ac:dyDescent="0.35">
      <c r="M5001" s="11"/>
    </row>
    <row r="5002" spans="13:13" x14ac:dyDescent="0.35">
      <c r="M5002" s="11"/>
    </row>
    <row r="5003" spans="13:13" x14ac:dyDescent="0.35">
      <c r="M5003" s="11"/>
    </row>
    <row r="5004" spans="13:13" x14ac:dyDescent="0.35">
      <c r="M5004" s="11"/>
    </row>
    <row r="5005" spans="13:13" x14ac:dyDescent="0.35">
      <c r="M5005" s="11"/>
    </row>
    <row r="5006" spans="13:13" x14ac:dyDescent="0.35">
      <c r="M5006" s="11"/>
    </row>
    <row r="5007" spans="13:13" x14ac:dyDescent="0.35">
      <c r="M5007" s="11"/>
    </row>
    <row r="5008" spans="13:13" x14ac:dyDescent="0.35">
      <c r="M5008" s="11"/>
    </row>
    <row r="5009" spans="13:13" x14ac:dyDescent="0.35">
      <c r="M5009" s="11"/>
    </row>
    <row r="5010" spans="13:13" x14ac:dyDescent="0.35">
      <c r="M5010" s="11"/>
    </row>
    <row r="5011" spans="13:13" x14ac:dyDescent="0.35">
      <c r="M5011" s="11"/>
    </row>
    <row r="5012" spans="13:13" x14ac:dyDescent="0.35">
      <c r="M5012" s="11"/>
    </row>
    <row r="5013" spans="13:13" x14ac:dyDescent="0.35">
      <c r="M5013" s="11"/>
    </row>
    <row r="5014" spans="13:13" x14ac:dyDescent="0.35">
      <c r="M5014" s="11"/>
    </row>
    <row r="5015" spans="13:13" x14ac:dyDescent="0.35">
      <c r="M5015" s="11"/>
    </row>
    <row r="5016" spans="13:13" x14ac:dyDescent="0.35">
      <c r="M5016" s="11"/>
    </row>
    <row r="5017" spans="13:13" x14ac:dyDescent="0.35">
      <c r="M5017" s="11"/>
    </row>
    <row r="5018" spans="13:13" x14ac:dyDescent="0.35">
      <c r="M5018" s="11"/>
    </row>
    <row r="5019" spans="13:13" x14ac:dyDescent="0.35">
      <c r="M5019" s="11"/>
    </row>
    <row r="5020" spans="13:13" x14ac:dyDescent="0.35">
      <c r="M5020" s="11"/>
    </row>
    <row r="5021" spans="13:13" x14ac:dyDescent="0.35">
      <c r="M5021" s="11"/>
    </row>
    <row r="5022" spans="13:13" x14ac:dyDescent="0.35">
      <c r="M5022" s="11"/>
    </row>
    <row r="5023" spans="13:13" x14ac:dyDescent="0.35">
      <c r="M5023" s="11"/>
    </row>
    <row r="5024" spans="13:13" x14ac:dyDescent="0.35">
      <c r="M5024" s="11"/>
    </row>
    <row r="5025" spans="13:13" x14ac:dyDescent="0.35">
      <c r="M5025" s="11"/>
    </row>
    <row r="5026" spans="13:13" x14ac:dyDescent="0.35">
      <c r="M5026" s="11"/>
    </row>
    <row r="5027" spans="13:13" x14ac:dyDescent="0.35">
      <c r="M5027" s="11"/>
    </row>
    <row r="5028" spans="13:13" x14ac:dyDescent="0.35">
      <c r="M5028" s="11"/>
    </row>
    <row r="5029" spans="13:13" x14ac:dyDescent="0.35">
      <c r="M5029" s="11"/>
    </row>
    <row r="5030" spans="13:13" x14ac:dyDescent="0.35">
      <c r="M5030" s="11"/>
    </row>
    <row r="5031" spans="13:13" x14ac:dyDescent="0.35">
      <c r="M5031" s="11"/>
    </row>
    <row r="5032" spans="13:13" x14ac:dyDescent="0.35">
      <c r="M5032" s="11"/>
    </row>
    <row r="5033" spans="13:13" x14ac:dyDescent="0.35">
      <c r="M5033" s="11"/>
    </row>
    <row r="5034" spans="13:13" x14ac:dyDescent="0.35">
      <c r="M5034" s="11"/>
    </row>
    <row r="5035" spans="13:13" x14ac:dyDescent="0.35">
      <c r="M5035" s="11"/>
    </row>
    <row r="5036" spans="13:13" x14ac:dyDescent="0.35">
      <c r="M5036" s="11"/>
    </row>
    <row r="5037" spans="13:13" x14ac:dyDescent="0.35">
      <c r="M5037" s="11"/>
    </row>
    <row r="5038" spans="13:13" x14ac:dyDescent="0.35">
      <c r="M5038" s="11"/>
    </row>
    <row r="5039" spans="13:13" x14ac:dyDescent="0.35">
      <c r="M5039" s="11"/>
    </row>
    <row r="5040" spans="13:13" x14ac:dyDescent="0.35">
      <c r="M5040" s="11"/>
    </row>
    <row r="5041" spans="13:13" x14ac:dyDescent="0.35">
      <c r="M5041" s="11"/>
    </row>
    <row r="5042" spans="13:13" x14ac:dyDescent="0.35">
      <c r="M5042" s="11"/>
    </row>
    <row r="5043" spans="13:13" x14ac:dyDescent="0.35">
      <c r="M5043" s="11"/>
    </row>
    <row r="5044" spans="13:13" x14ac:dyDescent="0.35">
      <c r="M5044" s="11"/>
    </row>
    <row r="5045" spans="13:13" x14ac:dyDescent="0.35">
      <c r="M5045" s="11"/>
    </row>
    <row r="5046" spans="13:13" x14ac:dyDescent="0.35">
      <c r="M5046" s="11"/>
    </row>
    <row r="5047" spans="13:13" x14ac:dyDescent="0.35">
      <c r="M5047" s="11"/>
    </row>
    <row r="5048" spans="13:13" x14ac:dyDescent="0.35">
      <c r="M5048" s="11"/>
    </row>
    <row r="5049" spans="13:13" x14ac:dyDescent="0.35">
      <c r="M5049" s="11"/>
    </row>
    <row r="5050" spans="13:13" x14ac:dyDescent="0.35">
      <c r="M5050" s="11"/>
    </row>
    <row r="5051" spans="13:13" x14ac:dyDescent="0.35">
      <c r="M5051" s="11"/>
    </row>
    <row r="5052" spans="13:13" x14ac:dyDescent="0.35">
      <c r="M5052" s="11"/>
    </row>
    <row r="5053" spans="13:13" x14ac:dyDescent="0.35">
      <c r="M5053" s="11"/>
    </row>
    <row r="5054" spans="13:13" x14ac:dyDescent="0.35">
      <c r="M5054" s="11"/>
    </row>
    <row r="5055" spans="13:13" x14ac:dyDescent="0.35">
      <c r="M5055" s="11"/>
    </row>
    <row r="5056" spans="13:13" x14ac:dyDescent="0.35">
      <c r="M5056" s="11"/>
    </row>
    <row r="5057" spans="13:13" x14ac:dyDescent="0.35">
      <c r="M5057" s="11"/>
    </row>
    <row r="5058" spans="13:13" x14ac:dyDescent="0.35">
      <c r="M5058" s="11"/>
    </row>
    <row r="5059" spans="13:13" x14ac:dyDescent="0.35">
      <c r="M5059" s="11"/>
    </row>
    <row r="5060" spans="13:13" x14ac:dyDescent="0.35">
      <c r="M5060" s="11"/>
    </row>
    <row r="5061" spans="13:13" x14ac:dyDescent="0.35">
      <c r="M5061" s="11"/>
    </row>
    <row r="5062" spans="13:13" x14ac:dyDescent="0.35">
      <c r="M5062" s="11"/>
    </row>
    <row r="5063" spans="13:13" x14ac:dyDescent="0.35">
      <c r="M5063" s="11"/>
    </row>
    <row r="5064" spans="13:13" x14ac:dyDescent="0.35">
      <c r="M5064" s="11"/>
    </row>
    <row r="5065" spans="13:13" x14ac:dyDescent="0.35">
      <c r="M5065" s="11"/>
    </row>
    <row r="5066" spans="13:13" x14ac:dyDescent="0.35">
      <c r="M5066" s="11"/>
    </row>
    <row r="5067" spans="13:13" x14ac:dyDescent="0.35">
      <c r="M5067" s="11"/>
    </row>
    <row r="5068" spans="13:13" x14ac:dyDescent="0.35">
      <c r="M5068" s="11"/>
    </row>
    <row r="5069" spans="13:13" x14ac:dyDescent="0.35">
      <c r="M5069" s="11"/>
    </row>
    <row r="5070" spans="13:13" x14ac:dyDescent="0.35">
      <c r="M5070" s="11"/>
    </row>
    <row r="5071" spans="13:13" x14ac:dyDescent="0.35">
      <c r="M5071" s="11"/>
    </row>
    <row r="5072" spans="13:13" x14ac:dyDescent="0.35">
      <c r="M5072" s="11"/>
    </row>
    <row r="5073" spans="13:13" x14ac:dyDescent="0.35">
      <c r="M5073" s="11"/>
    </row>
    <row r="5074" spans="13:13" x14ac:dyDescent="0.35">
      <c r="M5074" s="11"/>
    </row>
    <row r="5075" spans="13:13" x14ac:dyDescent="0.35">
      <c r="M5075" s="11"/>
    </row>
    <row r="5076" spans="13:13" x14ac:dyDescent="0.35">
      <c r="M5076" s="11"/>
    </row>
    <row r="5077" spans="13:13" x14ac:dyDescent="0.35">
      <c r="M5077" s="11"/>
    </row>
    <row r="5078" spans="13:13" x14ac:dyDescent="0.35">
      <c r="M5078" s="11"/>
    </row>
    <row r="5079" spans="13:13" x14ac:dyDescent="0.35">
      <c r="M5079" s="11"/>
    </row>
    <row r="5080" spans="13:13" x14ac:dyDescent="0.35">
      <c r="M5080" s="11"/>
    </row>
    <row r="5081" spans="13:13" x14ac:dyDescent="0.35">
      <c r="M5081" s="11"/>
    </row>
    <row r="5082" spans="13:13" x14ac:dyDescent="0.35">
      <c r="M5082" s="11"/>
    </row>
    <row r="5083" spans="13:13" x14ac:dyDescent="0.35">
      <c r="M5083" s="11"/>
    </row>
    <row r="5084" spans="13:13" x14ac:dyDescent="0.35">
      <c r="M5084" s="11"/>
    </row>
    <row r="5085" spans="13:13" x14ac:dyDescent="0.35">
      <c r="M5085" s="11"/>
    </row>
    <row r="5086" spans="13:13" x14ac:dyDescent="0.35">
      <c r="M5086" s="11"/>
    </row>
    <row r="5087" spans="13:13" x14ac:dyDescent="0.35">
      <c r="M5087" s="11"/>
    </row>
    <row r="5088" spans="13:13" x14ac:dyDescent="0.35">
      <c r="M5088" s="11"/>
    </row>
    <row r="5089" spans="13:13" x14ac:dyDescent="0.35">
      <c r="M5089" s="11"/>
    </row>
    <row r="5090" spans="13:13" x14ac:dyDescent="0.35">
      <c r="M5090" s="11"/>
    </row>
    <row r="5091" spans="13:13" x14ac:dyDescent="0.35">
      <c r="M5091" s="11"/>
    </row>
    <row r="5092" spans="13:13" x14ac:dyDescent="0.35">
      <c r="M5092" s="11"/>
    </row>
    <row r="5093" spans="13:13" x14ac:dyDescent="0.35">
      <c r="M5093" s="11"/>
    </row>
    <row r="5094" spans="13:13" x14ac:dyDescent="0.35">
      <c r="M5094" s="11"/>
    </row>
    <row r="5095" spans="13:13" x14ac:dyDescent="0.35">
      <c r="M5095" s="11"/>
    </row>
    <row r="5096" spans="13:13" x14ac:dyDescent="0.35">
      <c r="M5096" s="11"/>
    </row>
    <row r="5097" spans="13:13" x14ac:dyDescent="0.35">
      <c r="M5097" s="11"/>
    </row>
    <row r="5098" spans="13:13" x14ac:dyDescent="0.35">
      <c r="M5098" s="11"/>
    </row>
    <row r="5099" spans="13:13" x14ac:dyDescent="0.35">
      <c r="M5099" s="11"/>
    </row>
    <row r="5100" spans="13:13" x14ac:dyDescent="0.35">
      <c r="M5100" s="11"/>
    </row>
    <row r="5101" spans="13:13" x14ac:dyDescent="0.35">
      <c r="M5101" s="11"/>
    </row>
    <row r="5102" spans="13:13" x14ac:dyDescent="0.35">
      <c r="M5102" s="11"/>
    </row>
    <row r="5103" spans="13:13" x14ac:dyDescent="0.35">
      <c r="M5103" s="11"/>
    </row>
    <row r="5104" spans="13:13" x14ac:dyDescent="0.35">
      <c r="M5104" s="11"/>
    </row>
    <row r="5105" spans="13:13" x14ac:dyDescent="0.35">
      <c r="M5105" s="11"/>
    </row>
    <row r="5106" spans="13:13" x14ac:dyDescent="0.35">
      <c r="M5106" s="11"/>
    </row>
    <row r="5107" spans="13:13" x14ac:dyDescent="0.35">
      <c r="M5107" s="11"/>
    </row>
    <row r="5108" spans="13:13" x14ac:dyDescent="0.35">
      <c r="M5108" s="11"/>
    </row>
    <row r="5109" spans="13:13" x14ac:dyDescent="0.35">
      <c r="M5109" s="11"/>
    </row>
    <row r="5110" spans="13:13" x14ac:dyDescent="0.35">
      <c r="M5110" s="11"/>
    </row>
    <row r="5111" spans="13:13" x14ac:dyDescent="0.35">
      <c r="M5111" s="11"/>
    </row>
    <row r="5112" spans="13:13" x14ac:dyDescent="0.35">
      <c r="M5112" s="11"/>
    </row>
    <row r="5113" spans="13:13" x14ac:dyDescent="0.35">
      <c r="M5113" s="11"/>
    </row>
    <row r="5114" spans="13:13" x14ac:dyDescent="0.35">
      <c r="M5114" s="11"/>
    </row>
    <row r="5115" spans="13:13" x14ac:dyDescent="0.35">
      <c r="M5115" s="11"/>
    </row>
    <row r="5116" spans="13:13" x14ac:dyDescent="0.35">
      <c r="M5116" s="11"/>
    </row>
    <row r="5117" spans="13:13" x14ac:dyDescent="0.35">
      <c r="M5117" s="11"/>
    </row>
    <row r="5118" spans="13:13" x14ac:dyDescent="0.35">
      <c r="M5118" s="11"/>
    </row>
    <row r="5119" spans="13:13" x14ac:dyDescent="0.35">
      <c r="M5119" s="11"/>
    </row>
    <row r="5120" spans="13:13" x14ac:dyDescent="0.35">
      <c r="M5120" s="11"/>
    </row>
    <row r="5121" spans="13:13" x14ac:dyDescent="0.35">
      <c r="M5121" s="11"/>
    </row>
    <row r="5122" spans="13:13" x14ac:dyDescent="0.35">
      <c r="M5122" s="11"/>
    </row>
    <row r="5123" spans="13:13" x14ac:dyDescent="0.35">
      <c r="M5123" s="11"/>
    </row>
    <row r="5124" spans="13:13" x14ac:dyDescent="0.35">
      <c r="M5124" s="11"/>
    </row>
    <row r="5125" spans="13:13" x14ac:dyDescent="0.35">
      <c r="M5125" s="11"/>
    </row>
    <row r="5126" spans="13:13" x14ac:dyDescent="0.35">
      <c r="M5126" s="11"/>
    </row>
    <row r="5127" spans="13:13" x14ac:dyDescent="0.35">
      <c r="M5127" s="11"/>
    </row>
    <row r="5128" spans="13:13" x14ac:dyDescent="0.35">
      <c r="M5128" s="11"/>
    </row>
    <row r="5129" spans="13:13" x14ac:dyDescent="0.35">
      <c r="M5129" s="11"/>
    </row>
    <row r="5130" spans="13:13" x14ac:dyDescent="0.35">
      <c r="M5130" s="11"/>
    </row>
    <row r="5131" spans="13:13" x14ac:dyDescent="0.35">
      <c r="M5131" s="11"/>
    </row>
    <row r="5132" spans="13:13" x14ac:dyDescent="0.35">
      <c r="M5132" s="11"/>
    </row>
    <row r="5133" spans="13:13" x14ac:dyDescent="0.35">
      <c r="M5133" s="11"/>
    </row>
    <row r="5134" spans="13:13" x14ac:dyDescent="0.35">
      <c r="M5134" s="11"/>
    </row>
    <row r="5135" spans="13:13" x14ac:dyDescent="0.35">
      <c r="M5135" s="11"/>
    </row>
    <row r="5136" spans="13:13" x14ac:dyDescent="0.35">
      <c r="M5136" s="11"/>
    </row>
    <row r="5137" spans="13:13" x14ac:dyDescent="0.35">
      <c r="M5137" s="11"/>
    </row>
    <row r="5138" spans="13:13" x14ac:dyDescent="0.35">
      <c r="M5138" s="11"/>
    </row>
    <row r="5139" spans="13:13" x14ac:dyDescent="0.35">
      <c r="M5139" s="11"/>
    </row>
    <row r="5140" spans="13:13" x14ac:dyDescent="0.35">
      <c r="M5140" s="11"/>
    </row>
    <row r="5141" spans="13:13" x14ac:dyDescent="0.35">
      <c r="M5141" s="11"/>
    </row>
    <row r="5142" spans="13:13" x14ac:dyDescent="0.35">
      <c r="M5142" s="11"/>
    </row>
    <row r="5143" spans="13:13" x14ac:dyDescent="0.35">
      <c r="M5143" s="11"/>
    </row>
    <row r="5144" spans="13:13" x14ac:dyDescent="0.35">
      <c r="M5144" s="11"/>
    </row>
    <row r="5145" spans="13:13" x14ac:dyDescent="0.35">
      <c r="M5145" s="11"/>
    </row>
    <row r="5146" spans="13:13" x14ac:dyDescent="0.35">
      <c r="M5146" s="11"/>
    </row>
    <row r="5147" spans="13:13" x14ac:dyDescent="0.35">
      <c r="M5147" s="11"/>
    </row>
    <row r="5148" spans="13:13" x14ac:dyDescent="0.35">
      <c r="M5148" s="11"/>
    </row>
    <row r="5149" spans="13:13" x14ac:dyDescent="0.35">
      <c r="M5149" s="11"/>
    </row>
    <row r="5150" spans="13:13" x14ac:dyDescent="0.35">
      <c r="M5150" s="11"/>
    </row>
    <row r="5151" spans="13:13" x14ac:dyDescent="0.35">
      <c r="M5151" s="11"/>
    </row>
    <row r="5152" spans="13:13" x14ac:dyDescent="0.35">
      <c r="M5152" s="11"/>
    </row>
    <row r="5153" spans="13:13" x14ac:dyDescent="0.35">
      <c r="M5153" s="11"/>
    </row>
    <row r="5154" spans="13:13" x14ac:dyDescent="0.35">
      <c r="M5154" s="11"/>
    </row>
    <row r="5155" spans="13:13" x14ac:dyDescent="0.35">
      <c r="M5155" s="11"/>
    </row>
    <row r="5156" spans="13:13" x14ac:dyDescent="0.35">
      <c r="M5156" s="11"/>
    </row>
    <row r="5157" spans="13:13" x14ac:dyDescent="0.35">
      <c r="M5157" s="11"/>
    </row>
    <row r="5158" spans="13:13" x14ac:dyDescent="0.35">
      <c r="M5158" s="11"/>
    </row>
    <row r="5159" spans="13:13" x14ac:dyDescent="0.35">
      <c r="M5159" s="11"/>
    </row>
    <row r="5160" spans="13:13" x14ac:dyDescent="0.35">
      <c r="M5160" s="11"/>
    </row>
    <row r="5161" spans="13:13" x14ac:dyDescent="0.35">
      <c r="M5161" s="11"/>
    </row>
    <row r="5162" spans="13:13" x14ac:dyDescent="0.35">
      <c r="M5162" s="11"/>
    </row>
    <row r="5163" spans="13:13" x14ac:dyDescent="0.35">
      <c r="M5163" s="11"/>
    </row>
    <row r="5164" spans="13:13" x14ac:dyDescent="0.35">
      <c r="M5164" s="11"/>
    </row>
    <row r="5165" spans="13:13" x14ac:dyDescent="0.35">
      <c r="M5165" s="11"/>
    </row>
    <row r="5166" spans="13:13" x14ac:dyDescent="0.35">
      <c r="M5166" s="11"/>
    </row>
    <row r="5167" spans="13:13" x14ac:dyDescent="0.35">
      <c r="M5167" s="11"/>
    </row>
    <row r="5168" spans="13:13" x14ac:dyDescent="0.35">
      <c r="M5168" s="11"/>
    </row>
    <row r="5169" spans="13:13" x14ac:dyDescent="0.35">
      <c r="M5169" s="11"/>
    </row>
    <row r="5170" spans="13:13" x14ac:dyDescent="0.35">
      <c r="M5170" s="11"/>
    </row>
    <row r="5171" spans="13:13" x14ac:dyDescent="0.35">
      <c r="M5171" s="11"/>
    </row>
    <row r="5172" spans="13:13" x14ac:dyDescent="0.35">
      <c r="M5172" s="11"/>
    </row>
    <row r="5173" spans="13:13" x14ac:dyDescent="0.35">
      <c r="M5173" s="11"/>
    </row>
    <row r="5174" spans="13:13" x14ac:dyDescent="0.35">
      <c r="M5174" s="11"/>
    </row>
    <row r="5175" spans="13:13" x14ac:dyDescent="0.35">
      <c r="M5175" s="11"/>
    </row>
    <row r="5176" spans="13:13" x14ac:dyDescent="0.35">
      <c r="M5176" s="11"/>
    </row>
    <row r="5177" spans="13:13" x14ac:dyDescent="0.35">
      <c r="M5177" s="11"/>
    </row>
    <row r="5178" spans="13:13" x14ac:dyDescent="0.35">
      <c r="M5178" s="11"/>
    </row>
    <row r="5179" spans="13:13" x14ac:dyDescent="0.35">
      <c r="M5179" s="11"/>
    </row>
    <row r="5180" spans="13:13" x14ac:dyDescent="0.35">
      <c r="M5180" s="11"/>
    </row>
    <row r="5181" spans="13:13" x14ac:dyDescent="0.35">
      <c r="M5181" s="11"/>
    </row>
    <row r="5182" spans="13:13" x14ac:dyDescent="0.35">
      <c r="M5182" s="11"/>
    </row>
    <row r="5183" spans="13:13" x14ac:dyDescent="0.35">
      <c r="M5183" s="11"/>
    </row>
    <row r="5184" spans="13:13" x14ac:dyDescent="0.35">
      <c r="M5184" s="11"/>
    </row>
    <row r="5185" spans="13:13" x14ac:dyDescent="0.35">
      <c r="M5185" s="11"/>
    </row>
    <row r="5186" spans="13:13" x14ac:dyDescent="0.35">
      <c r="M5186" s="11"/>
    </row>
    <row r="5187" spans="13:13" x14ac:dyDescent="0.35">
      <c r="M5187" s="11"/>
    </row>
    <row r="5188" spans="13:13" x14ac:dyDescent="0.35">
      <c r="M5188" s="11"/>
    </row>
    <row r="5189" spans="13:13" x14ac:dyDescent="0.35">
      <c r="M5189" s="11"/>
    </row>
    <row r="5190" spans="13:13" x14ac:dyDescent="0.35">
      <c r="M5190" s="11"/>
    </row>
    <row r="5191" spans="13:13" x14ac:dyDescent="0.35">
      <c r="M5191" s="11"/>
    </row>
    <row r="5192" spans="13:13" x14ac:dyDescent="0.35">
      <c r="M5192" s="11"/>
    </row>
    <row r="5193" spans="13:13" x14ac:dyDescent="0.35">
      <c r="M5193" s="11"/>
    </row>
    <row r="5194" spans="13:13" x14ac:dyDescent="0.35">
      <c r="M5194" s="11"/>
    </row>
    <row r="5195" spans="13:13" x14ac:dyDescent="0.35">
      <c r="M5195" s="11"/>
    </row>
    <row r="5196" spans="13:13" x14ac:dyDescent="0.35">
      <c r="M5196" s="11"/>
    </row>
    <row r="5197" spans="13:13" x14ac:dyDescent="0.35">
      <c r="M5197" s="11"/>
    </row>
    <row r="5198" spans="13:13" x14ac:dyDescent="0.35">
      <c r="M5198" s="11"/>
    </row>
    <row r="5199" spans="13:13" x14ac:dyDescent="0.35">
      <c r="M5199" s="11"/>
    </row>
    <row r="5200" spans="13:13" x14ac:dyDescent="0.35">
      <c r="M5200" s="11"/>
    </row>
    <row r="5201" spans="13:13" x14ac:dyDescent="0.35">
      <c r="M5201" s="11"/>
    </row>
    <row r="5202" spans="13:13" x14ac:dyDescent="0.35">
      <c r="M5202" s="11"/>
    </row>
    <row r="5203" spans="13:13" x14ac:dyDescent="0.35">
      <c r="M5203" s="11"/>
    </row>
    <row r="5204" spans="13:13" x14ac:dyDescent="0.35">
      <c r="M5204" s="11"/>
    </row>
    <row r="5205" spans="13:13" x14ac:dyDescent="0.35">
      <c r="M5205" s="11"/>
    </row>
    <row r="5206" spans="13:13" x14ac:dyDescent="0.35">
      <c r="M5206" s="11"/>
    </row>
    <row r="5207" spans="13:13" x14ac:dyDescent="0.35">
      <c r="M5207" s="11"/>
    </row>
    <row r="5208" spans="13:13" x14ac:dyDescent="0.35">
      <c r="M5208" s="11"/>
    </row>
    <row r="5209" spans="13:13" x14ac:dyDescent="0.35">
      <c r="M5209" s="11"/>
    </row>
    <row r="5210" spans="13:13" x14ac:dyDescent="0.35">
      <c r="M5210" s="11"/>
    </row>
    <row r="5211" spans="13:13" x14ac:dyDescent="0.35">
      <c r="M5211" s="11"/>
    </row>
    <row r="5212" spans="13:13" x14ac:dyDescent="0.35">
      <c r="M5212" s="11"/>
    </row>
    <row r="5213" spans="13:13" x14ac:dyDescent="0.35">
      <c r="M5213" s="11"/>
    </row>
    <row r="5214" spans="13:13" x14ac:dyDescent="0.35">
      <c r="M5214" s="11"/>
    </row>
    <row r="5215" spans="13:13" x14ac:dyDescent="0.35">
      <c r="M5215" s="11"/>
    </row>
    <row r="5216" spans="13:13" x14ac:dyDescent="0.35">
      <c r="M5216" s="11"/>
    </row>
    <row r="5217" spans="13:13" x14ac:dyDescent="0.35">
      <c r="M5217" s="11"/>
    </row>
    <row r="5218" spans="13:13" x14ac:dyDescent="0.35">
      <c r="M5218" s="11"/>
    </row>
    <row r="5219" spans="13:13" x14ac:dyDescent="0.35">
      <c r="M5219" s="11"/>
    </row>
    <row r="5220" spans="13:13" x14ac:dyDescent="0.35">
      <c r="M5220" s="11"/>
    </row>
    <row r="5221" spans="13:13" x14ac:dyDescent="0.35">
      <c r="M5221" s="11"/>
    </row>
    <row r="5222" spans="13:13" x14ac:dyDescent="0.35">
      <c r="M5222" s="11"/>
    </row>
    <row r="5223" spans="13:13" x14ac:dyDescent="0.35">
      <c r="M5223" s="11"/>
    </row>
    <row r="5224" spans="13:13" x14ac:dyDescent="0.35">
      <c r="M5224" s="11"/>
    </row>
    <row r="5225" spans="13:13" x14ac:dyDescent="0.35">
      <c r="M5225" s="11"/>
    </row>
    <row r="5226" spans="13:13" x14ac:dyDescent="0.35">
      <c r="M5226" s="11"/>
    </row>
    <row r="5227" spans="13:13" x14ac:dyDescent="0.35">
      <c r="M5227" s="11"/>
    </row>
    <row r="5228" spans="13:13" x14ac:dyDescent="0.35">
      <c r="M5228" s="11"/>
    </row>
    <row r="5229" spans="13:13" x14ac:dyDescent="0.35">
      <c r="M5229" s="11"/>
    </row>
    <row r="5230" spans="13:13" x14ac:dyDescent="0.35">
      <c r="M5230" s="11"/>
    </row>
    <row r="5231" spans="13:13" x14ac:dyDescent="0.35">
      <c r="M5231" s="11"/>
    </row>
    <row r="5232" spans="13:13" x14ac:dyDescent="0.35">
      <c r="M5232" s="11"/>
    </row>
    <row r="5233" spans="13:13" x14ac:dyDescent="0.35">
      <c r="M5233" s="11"/>
    </row>
    <row r="5234" spans="13:13" x14ac:dyDescent="0.35">
      <c r="M5234" s="11"/>
    </row>
    <row r="5235" spans="13:13" x14ac:dyDescent="0.35">
      <c r="M5235" s="11"/>
    </row>
    <row r="5236" spans="13:13" x14ac:dyDescent="0.35">
      <c r="M5236" s="11"/>
    </row>
    <row r="5237" spans="13:13" x14ac:dyDescent="0.35">
      <c r="M5237" s="11"/>
    </row>
    <row r="5238" spans="13:13" x14ac:dyDescent="0.35">
      <c r="M5238" s="11"/>
    </row>
    <row r="5239" spans="13:13" x14ac:dyDescent="0.35">
      <c r="M5239" s="11"/>
    </row>
    <row r="5240" spans="13:13" x14ac:dyDescent="0.35">
      <c r="M5240" s="11"/>
    </row>
    <row r="5241" spans="13:13" x14ac:dyDescent="0.35">
      <c r="M5241" s="11"/>
    </row>
    <row r="5242" spans="13:13" x14ac:dyDescent="0.35">
      <c r="M5242" s="11"/>
    </row>
    <row r="5243" spans="13:13" x14ac:dyDescent="0.35">
      <c r="M5243" s="11"/>
    </row>
    <row r="5244" spans="13:13" x14ac:dyDescent="0.35">
      <c r="M5244" s="11"/>
    </row>
    <row r="5245" spans="13:13" x14ac:dyDescent="0.35">
      <c r="M5245" s="11"/>
    </row>
    <row r="5246" spans="13:13" x14ac:dyDescent="0.35">
      <c r="M5246" s="11"/>
    </row>
    <row r="5247" spans="13:13" x14ac:dyDescent="0.35">
      <c r="M5247" s="11"/>
    </row>
    <row r="5248" spans="13:13" x14ac:dyDescent="0.35">
      <c r="M5248" s="11"/>
    </row>
    <row r="5249" spans="13:13" x14ac:dyDescent="0.35">
      <c r="M5249" s="11"/>
    </row>
    <row r="5250" spans="13:13" x14ac:dyDescent="0.35">
      <c r="M5250" s="11"/>
    </row>
    <row r="5251" spans="13:13" x14ac:dyDescent="0.35">
      <c r="M5251" s="11"/>
    </row>
    <row r="5252" spans="13:13" x14ac:dyDescent="0.35">
      <c r="M5252" s="11"/>
    </row>
    <row r="5253" spans="13:13" x14ac:dyDescent="0.35">
      <c r="M5253" s="11"/>
    </row>
    <row r="5254" spans="13:13" x14ac:dyDescent="0.35">
      <c r="M5254" s="11"/>
    </row>
    <row r="5255" spans="13:13" x14ac:dyDescent="0.35">
      <c r="M5255" s="11"/>
    </row>
    <row r="5256" spans="13:13" x14ac:dyDescent="0.35">
      <c r="M5256" s="11"/>
    </row>
    <row r="5257" spans="13:13" x14ac:dyDescent="0.35">
      <c r="M5257" s="11"/>
    </row>
    <row r="5258" spans="13:13" x14ac:dyDescent="0.35">
      <c r="M5258" s="11"/>
    </row>
    <row r="5259" spans="13:13" x14ac:dyDescent="0.35">
      <c r="M5259" s="11"/>
    </row>
    <row r="5260" spans="13:13" x14ac:dyDescent="0.35">
      <c r="M5260" s="11"/>
    </row>
    <row r="5261" spans="13:13" x14ac:dyDescent="0.35">
      <c r="M5261" s="11"/>
    </row>
    <row r="5262" spans="13:13" x14ac:dyDescent="0.35">
      <c r="M5262" s="11"/>
    </row>
    <row r="5263" spans="13:13" x14ac:dyDescent="0.35">
      <c r="M5263" s="11"/>
    </row>
    <row r="5264" spans="13:13" x14ac:dyDescent="0.35">
      <c r="M5264" s="11"/>
    </row>
    <row r="5265" spans="13:13" x14ac:dyDescent="0.35">
      <c r="M5265" s="11"/>
    </row>
    <row r="5266" spans="13:13" x14ac:dyDescent="0.35">
      <c r="M5266" s="11"/>
    </row>
    <row r="5267" spans="13:13" x14ac:dyDescent="0.35">
      <c r="M5267" s="11"/>
    </row>
    <row r="5268" spans="13:13" x14ac:dyDescent="0.35">
      <c r="M5268" s="11"/>
    </row>
    <row r="5269" spans="13:13" x14ac:dyDescent="0.35">
      <c r="M5269" s="11"/>
    </row>
    <row r="5270" spans="13:13" x14ac:dyDescent="0.35">
      <c r="M5270" s="11"/>
    </row>
    <row r="5271" spans="13:13" x14ac:dyDescent="0.35">
      <c r="M5271" s="11"/>
    </row>
    <row r="5272" spans="13:13" x14ac:dyDescent="0.35">
      <c r="M5272" s="11"/>
    </row>
    <row r="5273" spans="13:13" x14ac:dyDescent="0.35">
      <c r="M5273" s="11"/>
    </row>
    <row r="5274" spans="13:13" x14ac:dyDescent="0.35">
      <c r="M5274" s="11"/>
    </row>
    <row r="5275" spans="13:13" x14ac:dyDescent="0.35">
      <c r="M5275" s="11"/>
    </row>
    <row r="5276" spans="13:13" x14ac:dyDescent="0.35">
      <c r="M5276" s="11"/>
    </row>
    <row r="5277" spans="13:13" x14ac:dyDescent="0.35">
      <c r="M5277" s="11"/>
    </row>
    <row r="5278" spans="13:13" x14ac:dyDescent="0.35">
      <c r="M5278" s="11"/>
    </row>
    <row r="5279" spans="13:13" x14ac:dyDescent="0.35">
      <c r="M5279" s="11"/>
    </row>
    <row r="5280" spans="13:13" x14ac:dyDescent="0.35">
      <c r="M5280" s="11"/>
    </row>
    <row r="5281" spans="13:13" x14ac:dyDescent="0.35">
      <c r="M5281" s="11"/>
    </row>
    <row r="5282" spans="13:13" x14ac:dyDescent="0.35">
      <c r="M5282" s="11"/>
    </row>
    <row r="5283" spans="13:13" x14ac:dyDescent="0.35">
      <c r="M5283" s="11"/>
    </row>
    <row r="5284" spans="13:13" x14ac:dyDescent="0.35">
      <c r="M5284" s="11"/>
    </row>
    <row r="5285" spans="13:13" x14ac:dyDescent="0.35">
      <c r="M5285" s="11"/>
    </row>
    <row r="5286" spans="13:13" x14ac:dyDescent="0.35">
      <c r="M5286" s="11"/>
    </row>
    <row r="5287" spans="13:13" x14ac:dyDescent="0.35">
      <c r="M5287" s="11"/>
    </row>
    <row r="5288" spans="13:13" x14ac:dyDescent="0.35">
      <c r="M5288" s="11"/>
    </row>
    <row r="5289" spans="13:13" x14ac:dyDescent="0.35">
      <c r="M5289" s="11"/>
    </row>
    <row r="5290" spans="13:13" x14ac:dyDescent="0.35">
      <c r="M5290" s="11"/>
    </row>
    <row r="5291" spans="13:13" x14ac:dyDescent="0.35">
      <c r="M5291" s="11"/>
    </row>
    <row r="5292" spans="13:13" x14ac:dyDescent="0.35">
      <c r="M5292" s="11"/>
    </row>
    <row r="5293" spans="13:13" x14ac:dyDescent="0.35">
      <c r="M5293" s="11"/>
    </row>
    <row r="5294" spans="13:13" x14ac:dyDescent="0.35">
      <c r="M5294" s="11"/>
    </row>
    <row r="5295" spans="13:13" x14ac:dyDescent="0.35">
      <c r="M5295" s="11"/>
    </row>
    <row r="5296" spans="13:13" x14ac:dyDescent="0.35">
      <c r="M5296" s="11"/>
    </row>
    <row r="5297" spans="13:13" x14ac:dyDescent="0.35">
      <c r="M5297" s="11"/>
    </row>
    <row r="5298" spans="13:13" x14ac:dyDescent="0.35">
      <c r="M5298" s="11"/>
    </row>
    <row r="5299" spans="13:13" x14ac:dyDescent="0.35">
      <c r="M5299" s="11"/>
    </row>
    <row r="5300" spans="13:13" x14ac:dyDescent="0.35">
      <c r="M5300" s="11"/>
    </row>
    <row r="5301" spans="13:13" x14ac:dyDescent="0.35">
      <c r="M5301" s="11"/>
    </row>
    <row r="5302" spans="13:13" x14ac:dyDescent="0.35">
      <c r="M5302" s="11"/>
    </row>
    <row r="5303" spans="13:13" x14ac:dyDescent="0.35">
      <c r="M5303" s="11"/>
    </row>
    <row r="5304" spans="13:13" x14ac:dyDescent="0.35">
      <c r="M5304" s="11"/>
    </row>
    <row r="5305" spans="13:13" x14ac:dyDescent="0.35">
      <c r="M5305" s="11"/>
    </row>
    <row r="5306" spans="13:13" x14ac:dyDescent="0.35">
      <c r="M5306" s="11"/>
    </row>
    <row r="5307" spans="13:13" x14ac:dyDescent="0.35">
      <c r="M5307" s="11"/>
    </row>
    <row r="5308" spans="13:13" x14ac:dyDescent="0.35">
      <c r="M5308" s="11"/>
    </row>
    <row r="5309" spans="13:13" x14ac:dyDescent="0.35">
      <c r="M5309" s="11"/>
    </row>
    <row r="5310" spans="13:13" x14ac:dyDescent="0.35">
      <c r="M5310" s="11"/>
    </row>
    <row r="5311" spans="13:13" x14ac:dyDescent="0.35">
      <c r="M5311" s="11"/>
    </row>
    <row r="5312" spans="13:13" x14ac:dyDescent="0.35">
      <c r="M5312" s="11"/>
    </row>
    <row r="5313" spans="13:13" x14ac:dyDescent="0.35">
      <c r="M5313" s="11"/>
    </row>
    <row r="5314" spans="13:13" x14ac:dyDescent="0.35">
      <c r="M5314" s="11"/>
    </row>
    <row r="5315" spans="13:13" x14ac:dyDescent="0.35">
      <c r="M5315" s="11"/>
    </row>
    <row r="5316" spans="13:13" x14ac:dyDescent="0.35">
      <c r="M5316" s="11"/>
    </row>
    <row r="5317" spans="13:13" x14ac:dyDescent="0.35">
      <c r="M5317" s="11"/>
    </row>
    <row r="5318" spans="13:13" x14ac:dyDescent="0.35">
      <c r="M5318" s="11"/>
    </row>
    <row r="5319" spans="13:13" x14ac:dyDescent="0.35">
      <c r="M5319" s="11"/>
    </row>
    <row r="5320" spans="13:13" x14ac:dyDescent="0.35">
      <c r="M5320" s="11"/>
    </row>
    <row r="5321" spans="13:13" x14ac:dyDescent="0.35">
      <c r="M5321" s="11"/>
    </row>
    <row r="5322" spans="13:13" x14ac:dyDescent="0.35">
      <c r="M5322" s="11"/>
    </row>
    <row r="5323" spans="13:13" x14ac:dyDescent="0.35">
      <c r="M5323" s="11"/>
    </row>
    <row r="5324" spans="13:13" x14ac:dyDescent="0.35">
      <c r="M5324" s="11"/>
    </row>
    <row r="5325" spans="13:13" x14ac:dyDescent="0.35">
      <c r="M5325" s="11"/>
    </row>
    <row r="5326" spans="13:13" x14ac:dyDescent="0.35">
      <c r="M5326" s="11"/>
    </row>
    <row r="5327" spans="13:13" x14ac:dyDescent="0.35">
      <c r="M5327" s="11"/>
    </row>
    <row r="5328" spans="13:13" x14ac:dyDescent="0.35">
      <c r="M5328" s="11"/>
    </row>
    <row r="5329" spans="13:13" x14ac:dyDescent="0.35">
      <c r="M5329" s="11"/>
    </row>
    <row r="5330" spans="13:13" x14ac:dyDescent="0.35">
      <c r="M5330" s="11"/>
    </row>
    <row r="5331" spans="13:13" x14ac:dyDescent="0.35">
      <c r="M5331" s="11"/>
    </row>
    <row r="5332" spans="13:13" x14ac:dyDescent="0.35">
      <c r="M5332" s="11"/>
    </row>
    <row r="5333" spans="13:13" x14ac:dyDescent="0.35">
      <c r="M5333" s="11"/>
    </row>
    <row r="5334" spans="13:13" x14ac:dyDescent="0.35">
      <c r="M5334" s="11"/>
    </row>
    <row r="5335" spans="13:13" x14ac:dyDescent="0.35">
      <c r="M5335" s="11"/>
    </row>
    <row r="5336" spans="13:13" x14ac:dyDescent="0.35">
      <c r="M5336" s="11"/>
    </row>
    <row r="5337" spans="13:13" x14ac:dyDescent="0.35">
      <c r="M5337" s="11"/>
    </row>
    <row r="5338" spans="13:13" x14ac:dyDescent="0.35">
      <c r="M5338" s="11"/>
    </row>
    <row r="5339" spans="13:13" x14ac:dyDescent="0.35">
      <c r="M5339" s="11"/>
    </row>
    <row r="5340" spans="13:13" x14ac:dyDescent="0.35">
      <c r="M5340" s="11"/>
    </row>
    <row r="5341" spans="13:13" x14ac:dyDescent="0.35">
      <c r="M5341" s="11"/>
    </row>
    <row r="5342" spans="13:13" x14ac:dyDescent="0.35">
      <c r="M5342" s="11"/>
    </row>
    <row r="5343" spans="13:13" x14ac:dyDescent="0.35">
      <c r="M5343" s="11"/>
    </row>
    <row r="5344" spans="13:13" x14ac:dyDescent="0.35">
      <c r="M5344" s="11"/>
    </row>
    <row r="5345" spans="13:13" x14ac:dyDescent="0.35">
      <c r="M5345" s="11"/>
    </row>
    <row r="5346" spans="13:13" x14ac:dyDescent="0.35">
      <c r="M5346" s="11"/>
    </row>
    <row r="5347" spans="13:13" x14ac:dyDescent="0.35">
      <c r="M5347" s="11"/>
    </row>
    <row r="5348" spans="13:13" x14ac:dyDescent="0.35">
      <c r="M5348" s="11"/>
    </row>
    <row r="5349" spans="13:13" x14ac:dyDescent="0.35">
      <c r="M5349" s="11"/>
    </row>
    <row r="5350" spans="13:13" x14ac:dyDescent="0.35">
      <c r="M5350" s="11"/>
    </row>
    <row r="5351" spans="13:13" x14ac:dyDescent="0.35">
      <c r="M5351" s="11"/>
    </row>
    <row r="5352" spans="13:13" x14ac:dyDescent="0.35">
      <c r="M5352" s="11"/>
    </row>
    <row r="5353" spans="13:13" x14ac:dyDescent="0.35">
      <c r="M5353" s="11"/>
    </row>
    <row r="5354" spans="13:13" x14ac:dyDescent="0.35">
      <c r="M5354" s="11"/>
    </row>
    <row r="5355" spans="13:13" x14ac:dyDescent="0.35">
      <c r="M5355" s="11"/>
    </row>
    <row r="5356" spans="13:13" x14ac:dyDescent="0.35">
      <c r="M5356" s="11"/>
    </row>
    <row r="5357" spans="13:13" x14ac:dyDescent="0.35">
      <c r="M5357" s="11"/>
    </row>
    <row r="5358" spans="13:13" x14ac:dyDescent="0.35">
      <c r="M5358" s="11"/>
    </row>
    <row r="5359" spans="13:13" x14ac:dyDescent="0.35">
      <c r="M5359" s="11"/>
    </row>
    <row r="5360" spans="13:13" x14ac:dyDescent="0.35">
      <c r="M5360" s="11"/>
    </row>
    <row r="5361" spans="13:13" x14ac:dyDescent="0.35">
      <c r="M5361" s="11"/>
    </row>
    <row r="5362" spans="13:13" x14ac:dyDescent="0.35">
      <c r="M5362" s="11"/>
    </row>
    <row r="5363" spans="13:13" x14ac:dyDescent="0.35">
      <c r="M5363" s="11"/>
    </row>
    <row r="5364" spans="13:13" x14ac:dyDescent="0.35">
      <c r="M5364" s="11"/>
    </row>
    <row r="5365" spans="13:13" x14ac:dyDescent="0.35">
      <c r="M5365" s="11"/>
    </row>
    <row r="5366" spans="13:13" x14ac:dyDescent="0.35">
      <c r="M5366" s="11"/>
    </row>
    <row r="5367" spans="13:13" x14ac:dyDescent="0.35">
      <c r="M5367" s="11"/>
    </row>
    <row r="5368" spans="13:13" x14ac:dyDescent="0.35">
      <c r="M5368" s="11"/>
    </row>
    <row r="5369" spans="13:13" x14ac:dyDescent="0.35">
      <c r="M5369" s="11"/>
    </row>
    <row r="5370" spans="13:13" x14ac:dyDescent="0.35">
      <c r="M5370" s="11"/>
    </row>
    <row r="5371" spans="13:13" x14ac:dyDescent="0.35">
      <c r="M5371" s="11"/>
    </row>
    <row r="5372" spans="13:13" x14ac:dyDescent="0.35">
      <c r="M5372" s="11"/>
    </row>
    <row r="5373" spans="13:13" x14ac:dyDescent="0.35">
      <c r="M5373" s="11"/>
    </row>
    <row r="5374" spans="13:13" x14ac:dyDescent="0.35">
      <c r="M5374" s="11"/>
    </row>
    <row r="5375" spans="13:13" x14ac:dyDescent="0.35">
      <c r="M5375" s="11"/>
    </row>
    <row r="5376" spans="13:13" x14ac:dyDescent="0.35">
      <c r="M5376" s="11"/>
    </row>
    <row r="5377" spans="13:13" x14ac:dyDescent="0.35">
      <c r="M5377" s="11"/>
    </row>
    <row r="5378" spans="13:13" x14ac:dyDescent="0.35">
      <c r="M5378" s="11"/>
    </row>
    <row r="5379" spans="13:13" x14ac:dyDescent="0.35">
      <c r="M5379" s="11"/>
    </row>
    <row r="5380" spans="13:13" x14ac:dyDescent="0.35">
      <c r="M5380" s="11"/>
    </row>
    <row r="5381" spans="13:13" x14ac:dyDescent="0.35">
      <c r="M5381" s="11"/>
    </row>
    <row r="5382" spans="13:13" x14ac:dyDescent="0.35">
      <c r="M5382" s="11"/>
    </row>
    <row r="5383" spans="13:13" x14ac:dyDescent="0.35">
      <c r="M5383" s="11"/>
    </row>
    <row r="5384" spans="13:13" x14ac:dyDescent="0.35">
      <c r="M5384" s="11"/>
    </row>
    <row r="5385" spans="13:13" x14ac:dyDescent="0.35">
      <c r="M5385" s="11"/>
    </row>
    <row r="5386" spans="13:13" x14ac:dyDescent="0.35">
      <c r="M5386" s="11"/>
    </row>
    <row r="5387" spans="13:13" x14ac:dyDescent="0.35">
      <c r="M5387" s="11"/>
    </row>
    <row r="5388" spans="13:13" x14ac:dyDescent="0.35">
      <c r="M5388" s="11"/>
    </row>
    <row r="5389" spans="13:13" x14ac:dyDescent="0.35">
      <c r="M5389" s="11"/>
    </row>
    <row r="5390" spans="13:13" x14ac:dyDescent="0.35">
      <c r="M5390" s="11"/>
    </row>
    <row r="5391" spans="13:13" x14ac:dyDescent="0.35">
      <c r="M5391" s="11"/>
    </row>
    <row r="5392" spans="13:13" x14ac:dyDescent="0.35">
      <c r="M5392" s="11"/>
    </row>
    <row r="5393" spans="13:13" x14ac:dyDescent="0.35">
      <c r="M5393" s="11"/>
    </row>
    <row r="5394" spans="13:13" x14ac:dyDescent="0.35">
      <c r="M5394" s="11"/>
    </row>
    <row r="5395" spans="13:13" x14ac:dyDescent="0.35">
      <c r="M5395" s="11"/>
    </row>
    <row r="5396" spans="13:13" x14ac:dyDescent="0.35">
      <c r="M5396" s="11"/>
    </row>
    <row r="5397" spans="13:13" x14ac:dyDescent="0.35">
      <c r="M5397" s="11"/>
    </row>
    <row r="5398" spans="13:13" x14ac:dyDescent="0.35">
      <c r="M5398" s="11"/>
    </row>
    <row r="5399" spans="13:13" x14ac:dyDescent="0.35">
      <c r="M5399" s="11"/>
    </row>
    <row r="5400" spans="13:13" x14ac:dyDescent="0.35">
      <c r="M5400" s="11"/>
    </row>
    <row r="5401" spans="13:13" x14ac:dyDescent="0.35">
      <c r="M5401" s="11"/>
    </row>
    <row r="5402" spans="13:13" x14ac:dyDescent="0.35">
      <c r="M5402" s="11"/>
    </row>
    <row r="5403" spans="13:13" x14ac:dyDescent="0.35">
      <c r="M5403" s="11"/>
    </row>
    <row r="5404" spans="13:13" x14ac:dyDescent="0.35">
      <c r="M5404" s="11"/>
    </row>
    <row r="5405" spans="13:13" x14ac:dyDescent="0.35">
      <c r="M5405" s="11"/>
    </row>
    <row r="5406" spans="13:13" x14ac:dyDescent="0.35">
      <c r="M5406" s="11"/>
    </row>
    <row r="5407" spans="13:13" x14ac:dyDescent="0.35">
      <c r="M5407" s="11"/>
    </row>
    <row r="5408" spans="13:13" x14ac:dyDescent="0.35">
      <c r="M5408" s="11"/>
    </row>
    <row r="5409" spans="13:13" x14ac:dyDescent="0.35">
      <c r="M5409" s="11"/>
    </row>
    <row r="5410" spans="13:13" x14ac:dyDescent="0.35">
      <c r="M5410" s="11"/>
    </row>
    <row r="5411" spans="13:13" x14ac:dyDescent="0.35">
      <c r="M5411" s="11"/>
    </row>
    <row r="5412" spans="13:13" x14ac:dyDescent="0.35">
      <c r="M5412" s="11"/>
    </row>
    <row r="5413" spans="13:13" x14ac:dyDescent="0.35">
      <c r="M5413" s="11"/>
    </row>
    <row r="5414" spans="13:13" x14ac:dyDescent="0.35">
      <c r="M5414" s="11"/>
    </row>
    <row r="5415" spans="13:13" x14ac:dyDescent="0.35">
      <c r="M5415" s="11"/>
    </row>
    <row r="5416" spans="13:13" x14ac:dyDescent="0.35">
      <c r="M5416" s="11"/>
    </row>
    <row r="5417" spans="13:13" x14ac:dyDescent="0.35">
      <c r="M5417" s="11"/>
    </row>
    <row r="5418" spans="13:13" x14ac:dyDescent="0.35">
      <c r="M5418" s="11"/>
    </row>
    <row r="5419" spans="13:13" x14ac:dyDescent="0.35">
      <c r="M5419" s="11"/>
    </row>
    <row r="5420" spans="13:13" x14ac:dyDescent="0.35">
      <c r="M5420" s="11"/>
    </row>
    <row r="5421" spans="13:13" x14ac:dyDescent="0.35">
      <c r="M5421" s="11"/>
    </row>
    <row r="5422" spans="13:13" x14ac:dyDescent="0.35">
      <c r="M5422" s="11"/>
    </row>
    <row r="5423" spans="13:13" x14ac:dyDescent="0.35">
      <c r="M5423" s="11"/>
    </row>
    <row r="5424" spans="13:13" x14ac:dyDescent="0.35">
      <c r="M5424" s="11"/>
    </row>
    <row r="5425" spans="13:13" x14ac:dyDescent="0.35">
      <c r="M5425" s="11"/>
    </row>
    <row r="5426" spans="13:13" x14ac:dyDescent="0.35">
      <c r="M5426" s="11"/>
    </row>
    <row r="5427" spans="13:13" x14ac:dyDescent="0.35">
      <c r="M5427" s="11"/>
    </row>
    <row r="5428" spans="13:13" x14ac:dyDescent="0.35">
      <c r="M5428" s="11"/>
    </row>
    <row r="5429" spans="13:13" x14ac:dyDescent="0.35">
      <c r="M5429" s="11"/>
    </row>
    <row r="5430" spans="13:13" x14ac:dyDescent="0.35">
      <c r="M5430" s="11"/>
    </row>
    <row r="5431" spans="13:13" x14ac:dyDescent="0.35">
      <c r="M5431" s="11"/>
    </row>
    <row r="5432" spans="13:13" x14ac:dyDescent="0.35">
      <c r="M5432" s="11"/>
    </row>
    <row r="5433" spans="13:13" x14ac:dyDescent="0.35">
      <c r="M5433" s="11"/>
    </row>
    <row r="5434" spans="13:13" x14ac:dyDescent="0.35">
      <c r="M5434" s="11"/>
    </row>
    <row r="5435" spans="13:13" x14ac:dyDescent="0.35">
      <c r="M5435" s="11"/>
    </row>
    <row r="5436" spans="13:13" x14ac:dyDescent="0.35">
      <c r="M5436" s="11"/>
    </row>
    <row r="5437" spans="13:13" x14ac:dyDescent="0.35">
      <c r="M5437" s="11"/>
    </row>
    <row r="5438" spans="13:13" x14ac:dyDescent="0.35">
      <c r="M5438" s="11"/>
    </row>
    <row r="5439" spans="13:13" x14ac:dyDescent="0.35">
      <c r="M5439" s="11"/>
    </row>
    <row r="5440" spans="13:13" x14ac:dyDescent="0.35">
      <c r="M5440" s="11"/>
    </row>
    <row r="5441" spans="13:13" x14ac:dyDescent="0.35">
      <c r="M5441" s="11"/>
    </row>
    <row r="5442" spans="13:13" x14ac:dyDescent="0.35">
      <c r="M5442" s="11"/>
    </row>
    <row r="5443" spans="13:13" x14ac:dyDescent="0.35">
      <c r="M5443" s="11"/>
    </row>
    <row r="5444" spans="13:13" x14ac:dyDescent="0.35">
      <c r="M5444" s="11"/>
    </row>
    <row r="5445" spans="13:13" x14ac:dyDescent="0.35">
      <c r="M5445" s="11"/>
    </row>
    <row r="5446" spans="13:13" x14ac:dyDescent="0.35">
      <c r="M5446" s="11"/>
    </row>
    <row r="5447" spans="13:13" x14ac:dyDescent="0.35">
      <c r="M5447" s="11"/>
    </row>
    <row r="5448" spans="13:13" x14ac:dyDescent="0.35">
      <c r="M5448" s="11"/>
    </row>
    <row r="5449" spans="13:13" x14ac:dyDescent="0.35">
      <c r="M5449" s="11"/>
    </row>
    <row r="5450" spans="13:13" x14ac:dyDescent="0.35">
      <c r="M5450" s="11"/>
    </row>
    <row r="5451" spans="13:13" x14ac:dyDescent="0.35">
      <c r="M5451" s="11"/>
    </row>
    <row r="5452" spans="13:13" x14ac:dyDescent="0.35">
      <c r="M5452" s="11"/>
    </row>
    <row r="5453" spans="13:13" x14ac:dyDescent="0.35">
      <c r="M5453" s="11"/>
    </row>
    <row r="5454" spans="13:13" x14ac:dyDescent="0.35">
      <c r="M5454" s="11"/>
    </row>
    <row r="5455" spans="13:13" x14ac:dyDescent="0.35">
      <c r="M5455" s="11"/>
    </row>
    <row r="5456" spans="13:13" x14ac:dyDescent="0.35">
      <c r="M5456" s="11"/>
    </row>
    <row r="5457" spans="13:13" x14ac:dyDescent="0.35">
      <c r="M5457" s="11"/>
    </row>
    <row r="5458" spans="13:13" x14ac:dyDescent="0.35">
      <c r="M5458" s="11"/>
    </row>
    <row r="5459" spans="13:13" x14ac:dyDescent="0.35">
      <c r="M5459" s="11"/>
    </row>
    <row r="5460" spans="13:13" x14ac:dyDescent="0.35">
      <c r="M5460" s="11"/>
    </row>
    <row r="5461" spans="13:13" x14ac:dyDescent="0.35">
      <c r="M5461" s="11"/>
    </row>
    <row r="5462" spans="13:13" x14ac:dyDescent="0.35">
      <c r="M5462" s="11"/>
    </row>
    <row r="5463" spans="13:13" x14ac:dyDescent="0.35">
      <c r="M5463" s="11"/>
    </row>
    <row r="5464" spans="13:13" x14ac:dyDescent="0.35">
      <c r="M5464" s="11"/>
    </row>
    <row r="5465" spans="13:13" x14ac:dyDescent="0.35">
      <c r="M5465" s="11"/>
    </row>
    <row r="5466" spans="13:13" x14ac:dyDescent="0.35">
      <c r="M5466" s="11"/>
    </row>
    <row r="5467" spans="13:13" x14ac:dyDescent="0.35">
      <c r="M5467" s="11"/>
    </row>
    <row r="5468" spans="13:13" x14ac:dyDescent="0.35">
      <c r="M5468" s="11"/>
    </row>
    <row r="5469" spans="13:13" x14ac:dyDescent="0.35">
      <c r="M5469" s="11"/>
    </row>
    <row r="5470" spans="13:13" x14ac:dyDescent="0.35">
      <c r="M5470" s="11"/>
    </row>
    <row r="5471" spans="13:13" x14ac:dyDescent="0.35">
      <c r="M5471" s="11"/>
    </row>
    <row r="5472" spans="13:13" x14ac:dyDescent="0.35">
      <c r="M5472" s="11"/>
    </row>
    <row r="5473" spans="13:13" x14ac:dyDescent="0.35">
      <c r="M5473" s="11"/>
    </row>
    <row r="5474" spans="13:13" x14ac:dyDescent="0.35">
      <c r="M5474" s="11"/>
    </row>
    <row r="5475" spans="13:13" x14ac:dyDescent="0.35">
      <c r="M5475" s="11"/>
    </row>
    <row r="5476" spans="13:13" x14ac:dyDescent="0.35">
      <c r="M5476" s="11"/>
    </row>
    <row r="5477" spans="13:13" x14ac:dyDescent="0.35">
      <c r="M5477" s="11"/>
    </row>
    <row r="5478" spans="13:13" x14ac:dyDescent="0.35">
      <c r="M5478" s="11"/>
    </row>
    <row r="5479" spans="13:13" x14ac:dyDescent="0.35">
      <c r="M5479" s="11"/>
    </row>
    <row r="5480" spans="13:13" x14ac:dyDescent="0.35">
      <c r="M5480" s="11"/>
    </row>
    <row r="5481" spans="13:13" x14ac:dyDescent="0.35">
      <c r="M5481" s="11"/>
    </row>
    <row r="5482" spans="13:13" x14ac:dyDescent="0.35">
      <c r="M5482" s="11"/>
    </row>
    <row r="5483" spans="13:13" x14ac:dyDescent="0.35">
      <c r="M5483" s="11"/>
    </row>
    <row r="5484" spans="13:13" x14ac:dyDescent="0.35">
      <c r="M5484" s="11"/>
    </row>
    <row r="5485" spans="13:13" x14ac:dyDescent="0.35">
      <c r="M5485" s="11"/>
    </row>
    <row r="5486" spans="13:13" x14ac:dyDescent="0.35">
      <c r="M5486" s="11"/>
    </row>
    <row r="5487" spans="13:13" x14ac:dyDescent="0.35">
      <c r="M5487" s="11"/>
    </row>
    <row r="5488" spans="13:13" x14ac:dyDescent="0.35">
      <c r="M5488" s="11"/>
    </row>
    <row r="5489" spans="13:13" x14ac:dyDescent="0.35">
      <c r="M5489" s="11"/>
    </row>
    <row r="5490" spans="13:13" x14ac:dyDescent="0.35">
      <c r="M5490" s="11"/>
    </row>
    <row r="5491" spans="13:13" x14ac:dyDescent="0.35">
      <c r="M5491" s="11"/>
    </row>
    <row r="5492" spans="13:13" x14ac:dyDescent="0.35">
      <c r="M5492" s="11"/>
    </row>
    <row r="5493" spans="13:13" x14ac:dyDescent="0.35">
      <c r="M5493" s="11"/>
    </row>
    <row r="5494" spans="13:13" x14ac:dyDescent="0.35">
      <c r="M5494" s="11"/>
    </row>
    <row r="5495" spans="13:13" x14ac:dyDescent="0.35">
      <c r="M5495" s="11"/>
    </row>
    <row r="5496" spans="13:13" x14ac:dyDescent="0.35">
      <c r="M5496" s="11"/>
    </row>
    <row r="5497" spans="13:13" x14ac:dyDescent="0.35">
      <c r="M5497" s="11"/>
    </row>
    <row r="5498" spans="13:13" x14ac:dyDescent="0.35">
      <c r="M5498" s="11"/>
    </row>
    <row r="5499" spans="13:13" x14ac:dyDescent="0.35">
      <c r="M5499" s="11"/>
    </row>
    <row r="5500" spans="13:13" x14ac:dyDescent="0.35">
      <c r="M5500" s="11"/>
    </row>
    <row r="5501" spans="13:13" x14ac:dyDescent="0.35">
      <c r="M5501" s="11"/>
    </row>
    <row r="5502" spans="13:13" x14ac:dyDescent="0.35">
      <c r="M5502" s="11"/>
    </row>
    <row r="5503" spans="13:13" x14ac:dyDescent="0.35">
      <c r="M5503" s="11"/>
    </row>
    <row r="5504" spans="13:13" x14ac:dyDescent="0.35">
      <c r="M5504" s="11"/>
    </row>
    <row r="5505" spans="13:13" x14ac:dyDescent="0.35">
      <c r="M5505" s="11"/>
    </row>
    <row r="5506" spans="13:13" x14ac:dyDescent="0.35">
      <c r="M5506" s="11"/>
    </row>
    <row r="5507" spans="13:13" x14ac:dyDescent="0.35">
      <c r="M5507" s="11"/>
    </row>
    <row r="5508" spans="13:13" x14ac:dyDescent="0.35">
      <c r="M5508" s="11"/>
    </row>
    <row r="5509" spans="13:13" x14ac:dyDescent="0.35">
      <c r="M5509" s="11"/>
    </row>
    <row r="5510" spans="13:13" x14ac:dyDescent="0.35">
      <c r="M5510" s="11"/>
    </row>
    <row r="5511" spans="13:13" x14ac:dyDescent="0.35">
      <c r="M5511" s="11"/>
    </row>
    <row r="5512" spans="13:13" x14ac:dyDescent="0.35">
      <c r="M5512" s="11"/>
    </row>
    <row r="5513" spans="13:13" x14ac:dyDescent="0.35">
      <c r="M5513" s="11"/>
    </row>
    <row r="5514" spans="13:13" x14ac:dyDescent="0.35">
      <c r="M5514" s="11"/>
    </row>
    <row r="5515" spans="13:13" x14ac:dyDescent="0.35">
      <c r="M5515" s="11"/>
    </row>
    <row r="5516" spans="13:13" x14ac:dyDescent="0.35">
      <c r="M5516" s="11"/>
    </row>
    <row r="5517" spans="13:13" x14ac:dyDescent="0.35">
      <c r="M5517" s="11"/>
    </row>
    <row r="5518" spans="13:13" x14ac:dyDescent="0.35">
      <c r="M5518" s="11"/>
    </row>
    <row r="5519" spans="13:13" x14ac:dyDescent="0.35">
      <c r="M5519" s="11"/>
    </row>
    <row r="5520" spans="13:13" x14ac:dyDescent="0.35">
      <c r="M5520" s="11"/>
    </row>
    <row r="5521" spans="13:13" x14ac:dyDescent="0.35">
      <c r="M5521" s="11"/>
    </row>
    <row r="5522" spans="13:13" x14ac:dyDescent="0.35">
      <c r="M5522" s="11"/>
    </row>
    <row r="5523" spans="13:13" x14ac:dyDescent="0.35">
      <c r="M5523" s="11"/>
    </row>
    <row r="5524" spans="13:13" x14ac:dyDescent="0.35">
      <c r="M5524" s="11"/>
    </row>
    <row r="5525" spans="13:13" x14ac:dyDescent="0.35">
      <c r="M5525" s="11"/>
    </row>
    <row r="5526" spans="13:13" x14ac:dyDescent="0.35">
      <c r="M5526" s="11"/>
    </row>
    <row r="5527" spans="13:13" x14ac:dyDescent="0.35">
      <c r="M5527" s="11"/>
    </row>
    <row r="5528" spans="13:13" x14ac:dyDescent="0.35">
      <c r="M5528" s="11"/>
    </row>
    <row r="5529" spans="13:13" x14ac:dyDescent="0.35">
      <c r="M5529" s="11"/>
    </row>
    <row r="5530" spans="13:13" x14ac:dyDescent="0.35">
      <c r="M5530" s="11"/>
    </row>
    <row r="5531" spans="13:13" x14ac:dyDescent="0.35">
      <c r="M5531" s="11"/>
    </row>
    <row r="5532" spans="13:13" x14ac:dyDescent="0.35">
      <c r="M5532" s="11"/>
    </row>
    <row r="5533" spans="13:13" x14ac:dyDescent="0.35">
      <c r="M5533" s="11"/>
    </row>
    <row r="5534" spans="13:13" x14ac:dyDescent="0.35">
      <c r="M5534" s="11"/>
    </row>
    <row r="5535" spans="13:13" x14ac:dyDescent="0.35">
      <c r="M5535" s="11"/>
    </row>
    <row r="5536" spans="13:13" x14ac:dyDescent="0.35">
      <c r="M5536" s="11"/>
    </row>
    <row r="5537" spans="13:13" x14ac:dyDescent="0.35">
      <c r="M5537" s="11"/>
    </row>
    <row r="5538" spans="13:13" x14ac:dyDescent="0.35">
      <c r="M5538" s="11"/>
    </row>
    <row r="5539" spans="13:13" x14ac:dyDescent="0.35">
      <c r="M5539" s="11"/>
    </row>
    <row r="5540" spans="13:13" x14ac:dyDescent="0.35">
      <c r="M5540" s="11"/>
    </row>
    <row r="5541" spans="13:13" x14ac:dyDescent="0.35">
      <c r="M5541" s="11"/>
    </row>
    <row r="5542" spans="13:13" x14ac:dyDescent="0.35">
      <c r="M5542" s="11"/>
    </row>
    <row r="5543" spans="13:13" x14ac:dyDescent="0.35">
      <c r="M5543" s="11"/>
    </row>
    <row r="5544" spans="13:13" x14ac:dyDescent="0.35">
      <c r="M5544" s="11"/>
    </row>
    <row r="5545" spans="13:13" x14ac:dyDescent="0.35">
      <c r="M5545" s="11"/>
    </row>
    <row r="5546" spans="13:13" x14ac:dyDescent="0.35">
      <c r="M5546" s="11"/>
    </row>
    <row r="5547" spans="13:13" x14ac:dyDescent="0.35">
      <c r="M5547" s="11"/>
    </row>
    <row r="5548" spans="13:13" x14ac:dyDescent="0.35">
      <c r="M5548" s="11"/>
    </row>
    <row r="5549" spans="13:13" x14ac:dyDescent="0.35">
      <c r="M5549" s="11"/>
    </row>
    <row r="5550" spans="13:13" x14ac:dyDescent="0.35">
      <c r="M5550" s="11"/>
    </row>
    <row r="5551" spans="13:13" x14ac:dyDescent="0.35">
      <c r="M5551" s="11"/>
    </row>
    <row r="5552" spans="13:13" x14ac:dyDescent="0.35">
      <c r="M5552" s="11"/>
    </row>
    <row r="5553" spans="13:13" x14ac:dyDescent="0.35">
      <c r="M5553" s="11"/>
    </row>
    <row r="5554" spans="13:13" x14ac:dyDescent="0.35">
      <c r="M5554" s="11"/>
    </row>
    <row r="5555" spans="13:13" x14ac:dyDescent="0.35">
      <c r="M5555" s="11"/>
    </row>
    <row r="5556" spans="13:13" x14ac:dyDescent="0.35">
      <c r="M5556" s="11"/>
    </row>
    <row r="5557" spans="13:13" x14ac:dyDescent="0.35">
      <c r="M5557" s="11"/>
    </row>
    <row r="5558" spans="13:13" x14ac:dyDescent="0.35">
      <c r="M5558" s="11"/>
    </row>
    <row r="5559" spans="13:13" x14ac:dyDescent="0.35">
      <c r="M5559" s="11"/>
    </row>
    <row r="5560" spans="13:13" x14ac:dyDescent="0.35">
      <c r="M5560" s="11"/>
    </row>
    <row r="5561" spans="13:13" x14ac:dyDescent="0.35">
      <c r="M5561" s="11"/>
    </row>
    <row r="5562" spans="13:13" x14ac:dyDescent="0.35">
      <c r="M5562" s="11"/>
    </row>
    <row r="5563" spans="13:13" x14ac:dyDescent="0.35">
      <c r="M5563" s="11"/>
    </row>
    <row r="5564" spans="13:13" x14ac:dyDescent="0.35">
      <c r="M5564" s="11"/>
    </row>
    <row r="5565" spans="13:13" x14ac:dyDescent="0.35">
      <c r="M5565" s="11"/>
    </row>
    <row r="5566" spans="13:13" x14ac:dyDescent="0.35">
      <c r="M5566" s="11"/>
    </row>
    <row r="5567" spans="13:13" x14ac:dyDescent="0.35">
      <c r="M5567" s="11"/>
    </row>
    <row r="5568" spans="13:13" x14ac:dyDescent="0.35">
      <c r="M5568" s="11"/>
    </row>
    <row r="5569" spans="13:13" x14ac:dyDescent="0.35">
      <c r="M5569" s="11"/>
    </row>
    <row r="5570" spans="13:13" x14ac:dyDescent="0.35">
      <c r="M5570" s="11"/>
    </row>
    <row r="5571" spans="13:13" x14ac:dyDescent="0.35">
      <c r="M5571" s="11"/>
    </row>
    <row r="5572" spans="13:13" x14ac:dyDescent="0.35">
      <c r="M5572" s="11"/>
    </row>
    <row r="5573" spans="13:13" x14ac:dyDescent="0.35">
      <c r="M5573" s="11"/>
    </row>
    <row r="5574" spans="13:13" x14ac:dyDescent="0.35">
      <c r="M5574" s="11"/>
    </row>
    <row r="5575" spans="13:13" x14ac:dyDescent="0.35">
      <c r="M5575" s="11"/>
    </row>
    <row r="5576" spans="13:13" x14ac:dyDescent="0.35">
      <c r="M5576" s="11"/>
    </row>
    <row r="5577" spans="13:13" x14ac:dyDescent="0.35">
      <c r="M5577" s="11"/>
    </row>
    <row r="5578" spans="13:13" x14ac:dyDescent="0.35">
      <c r="M5578" s="11"/>
    </row>
    <row r="5579" spans="13:13" x14ac:dyDescent="0.35">
      <c r="M5579" s="11"/>
    </row>
    <row r="5580" spans="13:13" x14ac:dyDescent="0.35">
      <c r="M5580" s="11"/>
    </row>
    <row r="5581" spans="13:13" x14ac:dyDescent="0.35">
      <c r="M5581" s="11"/>
    </row>
    <row r="5582" spans="13:13" x14ac:dyDescent="0.35">
      <c r="M5582" s="11"/>
    </row>
    <row r="5583" spans="13:13" x14ac:dyDescent="0.35">
      <c r="M5583" s="11"/>
    </row>
    <row r="5584" spans="13:13" x14ac:dyDescent="0.35">
      <c r="M5584" s="11"/>
    </row>
    <row r="5585" spans="13:13" x14ac:dyDescent="0.35">
      <c r="M5585" s="11"/>
    </row>
    <row r="5586" spans="13:13" x14ac:dyDescent="0.35">
      <c r="M5586" s="11"/>
    </row>
    <row r="5587" spans="13:13" x14ac:dyDescent="0.35">
      <c r="M5587" s="11"/>
    </row>
    <row r="5588" spans="13:13" x14ac:dyDescent="0.35">
      <c r="M5588" s="11"/>
    </row>
    <row r="5589" spans="13:13" x14ac:dyDescent="0.35">
      <c r="M5589" s="11"/>
    </row>
    <row r="5590" spans="13:13" x14ac:dyDescent="0.35">
      <c r="M5590" s="11"/>
    </row>
    <row r="5591" spans="13:13" x14ac:dyDescent="0.35">
      <c r="M5591" s="11"/>
    </row>
    <row r="5592" spans="13:13" x14ac:dyDescent="0.35">
      <c r="M5592" s="11"/>
    </row>
    <row r="5593" spans="13:13" x14ac:dyDescent="0.35">
      <c r="M5593" s="11"/>
    </row>
    <row r="5594" spans="13:13" x14ac:dyDescent="0.35">
      <c r="M5594" s="11"/>
    </row>
    <row r="5595" spans="13:13" x14ac:dyDescent="0.35">
      <c r="M5595" s="11"/>
    </row>
    <row r="5596" spans="13:13" x14ac:dyDescent="0.35">
      <c r="M5596" s="11"/>
    </row>
    <row r="5597" spans="13:13" x14ac:dyDescent="0.35">
      <c r="M5597" s="11"/>
    </row>
    <row r="5598" spans="13:13" x14ac:dyDescent="0.35">
      <c r="M5598" s="11"/>
    </row>
    <row r="5599" spans="13:13" x14ac:dyDescent="0.35">
      <c r="M5599" s="11"/>
    </row>
    <row r="5600" spans="13:13" x14ac:dyDescent="0.35">
      <c r="M5600" s="11"/>
    </row>
    <row r="5601" spans="13:13" x14ac:dyDescent="0.35">
      <c r="M5601" s="11"/>
    </row>
    <row r="5602" spans="13:13" x14ac:dyDescent="0.35">
      <c r="M5602" s="11"/>
    </row>
    <row r="5603" spans="13:13" x14ac:dyDescent="0.35">
      <c r="M5603" s="11"/>
    </row>
    <row r="5604" spans="13:13" x14ac:dyDescent="0.35">
      <c r="M5604" s="11"/>
    </row>
    <row r="5605" spans="13:13" x14ac:dyDescent="0.35">
      <c r="M5605" s="11"/>
    </row>
    <row r="5606" spans="13:13" x14ac:dyDescent="0.35">
      <c r="M5606" s="11"/>
    </row>
    <row r="5607" spans="13:13" x14ac:dyDescent="0.35">
      <c r="M5607" s="11"/>
    </row>
    <row r="5608" spans="13:13" x14ac:dyDescent="0.35">
      <c r="M5608" s="11"/>
    </row>
    <row r="5609" spans="13:13" x14ac:dyDescent="0.35">
      <c r="M5609" s="11"/>
    </row>
    <row r="5610" spans="13:13" x14ac:dyDescent="0.35">
      <c r="M5610" s="11"/>
    </row>
    <row r="5611" spans="13:13" x14ac:dyDescent="0.35">
      <c r="M5611" s="11"/>
    </row>
    <row r="5612" spans="13:13" x14ac:dyDescent="0.35">
      <c r="M5612" s="11"/>
    </row>
    <row r="5613" spans="13:13" x14ac:dyDescent="0.35">
      <c r="M5613" s="11"/>
    </row>
    <row r="5614" spans="13:13" x14ac:dyDescent="0.35">
      <c r="M5614" s="11"/>
    </row>
    <row r="5615" spans="13:13" x14ac:dyDescent="0.35">
      <c r="M5615" s="11"/>
    </row>
    <row r="5616" spans="13:13" x14ac:dyDescent="0.35">
      <c r="M5616" s="11"/>
    </row>
    <row r="5617" spans="13:13" x14ac:dyDescent="0.35">
      <c r="M5617" s="11"/>
    </row>
    <row r="5618" spans="13:13" x14ac:dyDescent="0.35">
      <c r="M5618" s="11"/>
    </row>
    <row r="5619" spans="13:13" x14ac:dyDescent="0.35">
      <c r="M5619" s="11"/>
    </row>
    <row r="5620" spans="13:13" x14ac:dyDescent="0.35">
      <c r="M5620" s="11"/>
    </row>
    <row r="5621" spans="13:13" x14ac:dyDescent="0.35">
      <c r="M5621" s="11"/>
    </row>
    <row r="5622" spans="13:13" x14ac:dyDescent="0.35">
      <c r="M5622" s="11"/>
    </row>
    <row r="5623" spans="13:13" x14ac:dyDescent="0.35">
      <c r="M5623" s="11"/>
    </row>
    <row r="5624" spans="13:13" x14ac:dyDescent="0.35">
      <c r="M5624" s="11"/>
    </row>
    <row r="5625" spans="13:13" x14ac:dyDescent="0.35">
      <c r="M5625" s="11"/>
    </row>
    <row r="5626" spans="13:13" x14ac:dyDescent="0.35">
      <c r="M5626" s="11"/>
    </row>
    <row r="5627" spans="13:13" x14ac:dyDescent="0.35">
      <c r="M5627" s="11"/>
    </row>
    <row r="5628" spans="13:13" x14ac:dyDescent="0.35">
      <c r="M5628" s="11"/>
    </row>
    <row r="5629" spans="13:13" x14ac:dyDescent="0.35">
      <c r="M5629" s="11"/>
    </row>
    <row r="5630" spans="13:13" x14ac:dyDescent="0.35">
      <c r="M5630" s="11"/>
    </row>
    <row r="5631" spans="13:13" x14ac:dyDescent="0.35">
      <c r="M5631" s="11"/>
    </row>
    <row r="5632" spans="13:13" x14ac:dyDescent="0.35">
      <c r="M5632" s="11"/>
    </row>
    <row r="5633" spans="13:13" x14ac:dyDescent="0.35">
      <c r="M5633" s="11"/>
    </row>
    <row r="5634" spans="13:13" x14ac:dyDescent="0.35">
      <c r="M5634" s="11"/>
    </row>
    <row r="5635" spans="13:13" x14ac:dyDescent="0.35">
      <c r="M5635" s="11"/>
    </row>
    <row r="5636" spans="13:13" x14ac:dyDescent="0.35">
      <c r="M5636" s="11"/>
    </row>
    <row r="5637" spans="13:13" x14ac:dyDescent="0.35">
      <c r="M5637" s="11"/>
    </row>
    <row r="5638" spans="13:13" x14ac:dyDescent="0.35">
      <c r="M5638" s="11"/>
    </row>
    <row r="5639" spans="13:13" x14ac:dyDescent="0.35">
      <c r="M5639" s="11"/>
    </row>
    <row r="5640" spans="13:13" x14ac:dyDescent="0.35">
      <c r="M5640" s="11"/>
    </row>
    <row r="5641" spans="13:13" x14ac:dyDescent="0.35">
      <c r="M5641" s="11"/>
    </row>
    <row r="5642" spans="13:13" x14ac:dyDescent="0.35">
      <c r="M5642" s="11"/>
    </row>
    <row r="5643" spans="13:13" x14ac:dyDescent="0.35">
      <c r="M5643" s="11"/>
    </row>
    <row r="5644" spans="13:13" x14ac:dyDescent="0.35">
      <c r="M5644" s="11"/>
    </row>
    <row r="5645" spans="13:13" x14ac:dyDescent="0.35">
      <c r="M5645" s="11"/>
    </row>
    <row r="5646" spans="13:13" x14ac:dyDescent="0.35">
      <c r="M5646" s="11"/>
    </row>
    <row r="5647" spans="13:13" x14ac:dyDescent="0.35">
      <c r="M5647" s="11"/>
    </row>
    <row r="5648" spans="13:13" x14ac:dyDescent="0.35">
      <c r="M5648" s="11"/>
    </row>
    <row r="5649" spans="13:13" x14ac:dyDescent="0.35">
      <c r="M5649" s="11"/>
    </row>
    <row r="5650" spans="13:13" x14ac:dyDescent="0.35">
      <c r="M5650" s="11"/>
    </row>
    <row r="5651" spans="13:13" x14ac:dyDescent="0.35">
      <c r="M5651" s="11"/>
    </row>
    <row r="5652" spans="13:13" x14ac:dyDescent="0.35">
      <c r="M5652" s="11"/>
    </row>
    <row r="5653" spans="13:13" x14ac:dyDescent="0.35">
      <c r="M5653" s="11"/>
    </row>
    <row r="5654" spans="13:13" x14ac:dyDescent="0.35">
      <c r="M5654" s="11"/>
    </row>
    <row r="5655" spans="13:13" x14ac:dyDescent="0.35">
      <c r="M5655" s="11"/>
    </row>
    <row r="5656" spans="13:13" x14ac:dyDescent="0.35">
      <c r="M5656" s="11"/>
    </row>
    <row r="5657" spans="13:13" x14ac:dyDescent="0.35">
      <c r="M5657" s="11"/>
    </row>
    <row r="5658" spans="13:13" x14ac:dyDescent="0.35">
      <c r="M5658" s="11"/>
    </row>
    <row r="5659" spans="13:13" x14ac:dyDescent="0.35">
      <c r="M5659" s="11"/>
    </row>
    <row r="5660" spans="13:13" x14ac:dyDescent="0.35">
      <c r="M5660" s="11"/>
    </row>
    <row r="5661" spans="13:13" x14ac:dyDescent="0.35">
      <c r="M5661" s="11"/>
    </row>
    <row r="5662" spans="13:13" x14ac:dyDescent="0.35">
      <c r="M5662" s="11"/>
    </row>
    <row r="5663" spans="13:13" x14ac:dyDescent="0.35">
      <c r="M5663" s="11"/>
    </row>
    <row r="5664" spans="13:13" x14ac:dyDescent="0.35">
      <c r="M5664" s="11"/>
    </row>
    <row r="5665" spans="13:13" x14ac:dyDescent="0.35">
      <c r="M5665" s="11"/>
    </row>
    <row r="5666" spans="13:13" x14ac:dyDescent="0.35">
      <c r="M5666" s="11"/>
    </row>
    <row r="5667" spans="13:13" x14ac:dyDescent="0.35">
      <c r="M5667" s="11"/>
    </row>
    <row r="5668" spans="13:13" x14ac:dyDescent="0.35">
      <c r="M5668" s="11"/>
    </row>
    <row r="5669" spans="13:13" x14ac:dyDescent="0.35">
      <c r="M5669" s="11"/>
    </row>
    <row r="5670" spans="13:13" x14ac:dyDescent="0.35">
      <c r="M5670" s="11"/>
    </row>
    <row r="5671" spans="13:13" x14ac:dyDescent="0.35">
      <c r="M5671" s="11"/>
    </row>
    <row r="5672" spans="13:13" x14ac:dyDescent="0.35">
      <c r="M5672" s="11"/>
    </row>
    <row r="5673" spans="13:13" x14ac:dyDescent="0.35">
      <c r="M5673" s="11"/>
    </row>
    <row r="5674" spans="13:13" x14ac:dyDescent="0.35">
      <c r="M5674" s="11"/>
    </row>
    <row r="5675" spans="13:13" x14ac:dyDescent="0.35">
      <c r="M5675" s="11"/>
    </row>
    <row r="5676" spans="13:13" x14ac:dyDescent="0.35">
      <c r="M5676" s="11"/>
    </row>
    <row r="5677" spans="13:13" x14ac:dyDescent="0.35">
      <c r="M5677" s="11"/>
    </row>
    <row r="5678" spans="13:13" x14ac:dyDescent="0.35">
      <c r="M5678" s="11"/>
    </row>
    <row r="5679" spans="13:13" x14ac:dyDescent="0.35">
      <c r="M5679" s="11"/>
    </row>
    <row r="5680" spans="13:13" x14ac:dyDescent="0.35">
      <c r="M5680" s="11"/>
    </row>
    <row r="5681" spans="13:13" x14ac:dyDescent="0.35">
      <c r="M5681" s="11"/>
    </row>
    <row r="5682" spans="13:13" x14ac:dyDescent="0.35">
      <c r="M5682" s="11"/>
    </row>
    <row r="5683" spans="13:13" x14ac:dyDescent="0.35">
      <c r="M5683" s="11"/>
    </row>
    <row r="5684" spans="13:13" x14ac:dyDescent="0.35">
      <c r="M5684" s="11"/>
    </row>
    <row r="5685" spans="13:13" x14ac:dyDescent="0.35">
      <c r="M5685" s="11"/>
    </row>
    <row r="5686" spans="13:13" x14ac:dyDescent="0.35">
      <c r="M5686" s="11"/>
    </row>
    <row r="5687" spans="13:13" x14ac:dyDescent="0.35">
      <c r="M5687" s="11"/>
    </row>
    <row r="5688" spans="13:13" x14ac:dyDescent="0.35">
      <c r="M5688" s="11"/>
    </row>
    <row r="5689" spans="13:13" x14ac:dyDescent="0.35">
      <c r="M5689" s="11"/>
    </row>
    <row r="5690" spans="13:13" x14ac:dyDescent="0.35">
      <c r="M5690" s="11"/>
    </row>
    <row r="5691" spans="13:13" x14ac:dyDescent="0.35">
      <c r="M5691" s="11"/>
    </row>
    <row r="5692" spans="13:13" x14ac:dyDescent="0.35">
      <c r="M5692" s="11"/>
    </row>
    <row r="5693" spans="13:13" x14ac:dyDescent="0.35">
      <c r="M5693" s="11"/>
    </row>
    <row r="5694" spans="13:13" x14ac:dyDescent="0.35">
      <c r="M5694" s="11"/>
    </row>
    <row r="5695" spans="13:13" x14ac:dyDescent="0.35">
      <c r="M5695" s="11"/>
    </row>
    <row r="5696" spans="13:13" x14ac:dyDescent="0.35">
      <c r="M5696" s="11"/>
    </row>
    <row r="5697" spans="13:13" x14ac:dyDescent="0.35">
      <c r="M5697" s="11"/>
    </row>
    <row r="5698" spans="13:13" x14ac:dyDescent="0.35">
      <c r="M5698" s="11"/>
    </row>
    <row r="5699" spans="13:13" x14ac:dyDescent="0.35">
      <c r="M5699" s="11"/>
    </row>
    <row r="5700" spans="13:13" x14ac:dyDescent="0.35">
      <c r="M5700" s="11"/>
    </row>
    <row r="5701" spans="13:13" x14ac:dyDescent="0.35">
      <c r="M5701" s="11"/>
    </row>
    <row r="5702" spans="13:13" x14ac:dyDescent="0.35">
      <c r="M5702" s="11"/>
    </row>
    <row r="5703" spans="13:13" x14ac:dyDescent="0.35">
      <c r="M5703" s="11"/>
    </row>
    <row r="5704" spans="13:13" x14ac:dyDescent="0.35">
      <c r="M5704" s="11"/>
    </row>
    <row r="5705" spans="13:13" x14ac:dyDescent="0.35">
      <c r="M5705" s="11"/>
    </row>
    <row r="5706" spans="13:13" x14ac:dyDescent="0.35">
      <c r="M5706" s="11"/>
    </row>
    <row r="5707" spans="13:13" x14ac:dyDescent="0.35">
      <c r="M5707" s="11"/>
    </row>
    <row r="5708" spans="13:13" x14ac:dyDescent="0.35">
      <c r="M5708" s="11"/>
    </row>
    <row r="5709" spans="13:13" x14ac:dyDescent="0.35">
      <c r="M5709" s="11"/>
    </row>
    <row r="5710" spans="13:13" x14ac:dyDescent="0.35">
      <c r="M5710" s="11"/>
    </row>
    <row r="5711" spans="13:13" x14ac:dyDescent="0.35">
      <c r="M5711" s="11"/>
    </row>
    <row r="5712" spans="13:13" x14ac:dyDescent="0.35">
      <c r="M5712" s="11"/>
    </row>
    <row r="5713" spans="13:13" x14ac:dyDescent="0.35">
      <c r="M5713" s="11"/>
    </row>
    <row r="5714" spans="13:13" x14ac:dyDescent="0.35">
      <c r="M5714" s="11"/>
    </row>
    <row r="5715" spans="13:13" x14ac:dyDescent="0.35">
      <c r="M5715" s="11"/>
    </row>
    <row r="5716" spans="13:13" x14ac:dyDescent="0.35">
      <c r="M5716" s="11"/>
    </row>
    <row r="5717" spans="13:13" x14ac:dyDescent="0.35">
      <c r="M5717" s="11"/>
    </row>
    <row r="5718" spans="13:13" x14ac:dyDescent="0.35">
      <c r="M5718" s="11"/>
    </row>
    <row r="5719" spans="13:13" x14ac:dyDescent="0.35">
      <c r="M5719" s="11"/>
    </row>
    <row r="5720" spans="13:13" x14ac:dyDescent="0.35">
      <c r="M5720" s="11"/>
    </row>
    <row r="5721" spans="13:13" x14ac:dyDescent="0.35">
      <c r="M5721" s="11"/>
    </row>
    <row r="5722" spans="13:13" x14ac:dyDescent="0.35">
      <c r="M5722" s="11"/>
    </row>
    <row r="5723" spans="13:13" x14ac:dyDescent="0.35">
      <c r="M5723" s="11"/>
    </row>
    <row r="5724" spans="13:13" x14ac:dyDescent="0.35">
      <c r="M5724" s="11"/>
    </row>
    <row r="5725" spans="13:13" x14ac:dyDescent="0.35">
      <c r="M5725" s="11"/>
    </row>
    <row r="5726" spans="13:13" x14ac:dyDescent="0.35">
      <c r="M5726" s="11"/>
    </row>
    <row r="5727" spans="13:13" x14ac:dyDescent="0.35">
      <c r="M5727" s="11"/>
    </row>
    <row r="5728" spans="13:13" x14ac:dyDescent="0.35">
      <c r="M5728" s="11"/>
    </row>
    <row r="5729" spans="13:13" x14ac:dyDescent="0.35">
      <c r="M5729" s="11"/>
    </row>
    <row r="5730" spans="13:13" x14ac:dyDescent="0.35">
      <c r="M5730" s="11"/>
    </row>
    <row r="5731" spans="13:13" x14ac:dyDescent="0.35">
      <c r="M5731" s="11"/>
    </row>
    <row r="5732" spans="13:13" x14ac:dyDescent="0.35">
      <c r="M5732" s="11"/>
    </row>
    <row r="5733" spans="13:13" x14ac:dyDescent="0.35">
      <c r="M5733" s="11"/>
    </row>
    <row r="5734" spans="13:13" x14ac:dyDescent="0.35">
      <c r="M5734" s="11"/>
    </row>
    <row r="5735" spans="13:13" x14ac:dyDescent="0.35">
      <c r="M5735" s="11"/>
    </row>
    <row r="5736" spans="13:13" x14ac:dyDescent="0.35">
      <c r="M5736" s="11"/>
    </row>
    <row r="5737" spans="13:13" x14ac:dyDescent="0.35">
      <c r="M5737" s="11"/>
    </row>
    <row r="5738" spans="13:13" x14ac:dyDescent="0.35">
      <c r="M5738" s="11"/>
    </row>
    <row r="5739" spans="13:13" x14ac:dyDescent="0.35">
      <c r="M5739" s="11"/>
    </row>
    <row r="5740" spans="13:13" x14ac:dyDescent="0.35">
      <c r="M5740" s="11"/>
    </row>
    <row r="5741" spans="13:13" x14ac:dyDescent="0.35">
      <c r="M5741" s="11"/>
    </row>
    <row r="5742" spans="13:13" x14ac:dyDescent="0.35">
      <c r="M5742" s="11"/>
    </row>
    <row r="5743" spans="13:13" x14ac:dyDescent="0.35">
      <c r="M5743" s="11"/>
    </row>
    <row r="5744" spans="13:13" x14ac:dyDescent="0.35">
      <c r="M5744" s="11"/>
    </row>
    <row r="5745" spans="13:13" x14ac:dyDescent="0.35">
      <c r="M5745" s="11"/>
    </row>
    <row r="5746" spans="13:13" x14ac:dyDescent="0.35">
      <c r="M5746" s="11"/>
    </row>
    <row r="5747" spans="13:13" x14ac:dyDescent="0.35">
      <c r="M5747" s="11"/>
    </row>
    <row r="5748" spans="13:13" x14ac:dyDescent="0.35">
      <c r="M5748" s="11"/>
    </row>
    <row r="5749" spans="13:13" x14ac:dyDescent="0.35">
      <c r="M5749" s="11"/>
    </row>
    <row r="5750" spans="13:13" x14ac:dyDescent="0.35">
      <c r="M5750" s="11"/>
    </row>
    <row r="5751" spans="13:13" x14ac:dyDescent="0.35">
      <c r="M5751" s="11"/>
    </row>
    <row r="5752" spans="13:13" x14ac:dyDescent="0.35">
      <c r="M5752" s="11"/>
    </row>
    <row r="5753" spans="13:13" x14ac:dyDescent="0.35">
      <c r="M5753" s="11"/>
    </row>
    <row r="5754" spans="13:13" x14ac:dyDescent="0.35">
      <c r="M5754" s="11"/>
    </row>
    <row r="5755" spans="13:13" x14ac:dyDescent="0.35">
      <c r="M5755" s="11"/>
    </row>
    <row r="5756" spans="13:13" x14ac:dyDescent="0.35">
      <c r="M5756" s="11"/>
    </row>
    <row r="5757" spans="13:13" x14ac:dyDescent="0.35">
      <c r="M5757" s="11"/>
    </row>
    <row r="5758" spans="13:13" x14ac:dyDescent="0.35">
      <c r="M5758" s="11"/>
    </row>
    <row r="5759" spans="13:13" x14ac:dyDescent="0.35">
      <c r="M5759" s="11"/>
    </row>
    <row r="5760" spans="13:13" x14ac:dyDescent="0.35">
      <c r="M5760" s="11"/>
    </row>
    <row r="5761" spans="13:13" x14ac:dyDescent="0.35">
      <c r="M5761" s="11"/>
    </row>
    <row r="5762" spans="13:13" x14ac:dyDescent="0.35">
      <c r="M5762" s="11"/>
    </row>
    <row r="5763" spans="13:13" x14ac:dyDescent="0.35">
      <c r="M5763" s="11"/>
    </row>
    <row r="5764" spans="13:13" x14ac:dyDescent="0.35">
      <c r="M5764" s="11"/>
    </row>
    <row r="5765" spans="13:13" x14ac:dyDescent="0.35">
      <c r="M5765" s="11"/>
    </row>
    <row r="5766" spans="13:13" x14ac:dyDescent="0.35">
      <c r="M5766" s="11"/>
    </row>
    <row r="5767" spans="13:13" x14ac:dyDescent="0.35">
      <c r="M5767" s="11"/>
    </row>
    <row r="5768" spans="13:13" x14ac:dyDescent="0.35">
      <c r="M5768" s="11"/>
    </row>
    <row r="5769" spans="13:13" x14ac:dyDescent="0.35">
      <c r="M5769" s="11"/>
    </row>
    <row r="5770" spans="13:13" x14ac:dyDescent="0.35">
      <c r="M5770" s="11"/>
    </row>
    <row r="5771" spans="13:13" x14ac:dyDescent="0.35">
      <c r="M5771" s="11"/>
    </row>
    <row r="5772" spans="13:13" x14ac:dyDescent="0.35">
      <c r="M5772" s="11"/>
    </row>
    <row r="5773" spans="13:13" x14ac:dyDescent="0.35">
      <c r="M5773" s="11"/>
    </row>
    <row r="5774" spans="13:13" x14ac:dyDescent="0.35">
      <c r="M5774" s="11"/>
    </row>
    <row r="5775" spans="13:13" x14ac:dyDescent="0.35">
      <c r="M5775" s="11"/>
    </row>
    <row r="5776" spans="13:13" x14ac:dyDescent="0.35">
      <c r="M5776" s="11"/>
    </row>
    <row r="5777" spans="13:13" x14ac:dyDescent="0.35">
      <c r="M5777" s="11"/>
    </row>
    <row r="5778" spans="13:13" x14ac:dyDescent="0.35">
      <c r="M5778" s="11"/>
    </row>
    <row r="5779" spans="13:13" x14ac:dyDescent="0.35">
      <c r="M5779" s="11"/>
    </row>
    <row r="5780" spans="13:13" x14ac:dyDescent="0.35">
      <c r="M5780" s="11"/>
    </row>
    <row r="5781" spans="13:13" x14ac:dyDescent="0.35">
      <c r="M5781" s="11"/>
    </row>
    <row r="5782" spans="13:13" x14ac:dyDescent="0.35">
      <c r="M5782" s="11"/>
    </row>
    <row r="5783" spans="13:13" x14ac:dyDescent="0.35">
      <c r="M5783" s="11"/>
    </row>
    <row r="5784" spans="13:13" x14ac:dyDescent="0.35">
      <c r="M5784" s="11"/>
    </row>
    <row r="5785" spans="13:13" x14ac:dyDescent="0.35">
      <c r="M5785" s="11"/>
    </row>
    <row r="5786" spans="13:13" x14ac:dyDescent="0.35">
      <c r="M5786" s="11"/>
    </row>
    <row r="5787" spans="13:13" x14ac:dyDescent="0.35">
      <c r="M5787" s="11"/>
    </row>
    <row r="5788" spans="13:13" x14ac:dyDescent="0.35">
      <c r="M5788" s="11"/>
    </row>
    <row r="5789" spans="13:13" x14ac:dyDescent="0.35">
      <c r="M5789" s="11"/>
    </row>
    <row r="5790" spans="13:13" x14ac:dyDescent="0.35">
      <c r="M5790" s="11"/>
    </row>
    <row r="5791" spans="13:13" x14ac:dyDescent="0.35">
      <c r="M5791" s="11"/>
    </row>
    <row r="5792" spans="13:13" x14ac:dyDescent="0.35">
      <c r="M5792" s="11"/>
    </row>
    <row r="5793" spans="13:13" x14ac:dyDescent="0.35">
      <c r="M5793" s="11"/>
    </row>
    <row r="5794" spans="13:13" x14ac:dyDescent="0.35">
      <c r="M5794" s="11"/>
    </row>
    <row r="5795" spans="13:13" x14ac:dyDescent="0.35">
      <c r="M5795" s="11"/>
    </row>
    <row r="5796" spans="13:13" x14ac:dyDescent="0.35">
      <c r="M5796" s="11"/>
    </row>
    <row r="5797" spans="13:13" x14ac:dyDescent="0.35">
      <c r="M5797" s="11"/>
    </row>
    <row r="5798" spans="13:13" x14ac:dyDescent="0.35">
      <c r="M5798" s="11"/>
    </row>
    <row r="5799" spans="13:13" x14ac:dyDescent="0.35">
      <c r="M5799" s="11"/>
    </row>
    <row r="5800" spans="13:13" x14ac:dyDescent="0.35">
      <c r="M5800" s="11"/>
    </row>
    <row r="5801" spans="13:13" x14ac:dyDescent="0.35">
      <c r="M5801" s="11"/>
    </row>
    <row r="5802" spans="13:13" x14ac:dyDescent="0.35">
      <c r="M5802" s="11"/>
    </row>
    <row r="5803" spans="13:13" x14ac:dyDescent="0.35">
      <c r="M5803" s="11"/>
    </row>
    <row r="5804" spans="13:13" x14ac:dyDescent="0.35">
      <c r="M5804" s="11"/>
    </row>
    <row r="5805" spans="13:13" x14ac:dyDescent="0.35">
      <c r="M5805" s="11"/>
    </row>
    <row r="5806" spans="13:13" x14ac:dyDescent="0.35">
      <c r="M5806" s="11"/>
    </row>
    <row r="5807" spans="13:13" x14ac:dyDescent="0.35">
      <c r="M5807" s="11"/>
    </row>
    <row r="5808" spans="13:13" x14ac:dyDescent="0.35">
      <c r="M5808" s="11"/>
    </row>
    <row r="5809" spans="13:13" x14ac:dyDescent="0.35">
      <c r="M5809" s="11"/>
    </row>
    <row r="5810" spans="13:13" x14ac:dyDescent="0.35">
      <c r="M5810" s="11"/>
    </row>
    <row r="5811" spans="13:13" x14ac:dyDescent="0.35">
      <c r="M5811" s="11"/>
    </row>
    <row r="5812" spans="13:13" x14ac:dyDescent="0.35">
      <c r="M5812" s="11"/>
    </row>
    <row r="5813" spans="13:13" x14ac:dyDescent="0.35">
      <c r="M5813" s="11"/>
    </row>
    <row r="5814" spans="13:13" x14ac:dyDescent="0.35">
      <c r="M5814" s="11"/>
    </row>
    <row r="5815" spans="13:13" x14ac:dyDescent="0.35">
      <c r="M5815" s="11"/>
    </row>
    <row r="5816" spans="13:13" x14ac:dyDescent="0.35">
      <c r="M5816" s="11"/>
    </row>
    <row r="5817" spans="13:13" x14ac:dyDescent="0.35">
      <c r="M5817" s="11"/>
    </row>
    <row r="5818" spans="13:13" x14ac:dyDescent="0.35">
      <c r="M5818" s="11"/>
    </row>
    <row r="5819" spans="13:13" x14ac:dyDescent="0.35">
      <c r="M5819" s="11"/>
    </row>
    <row r="5820" spans="13:13" x14ac:dyDescent="0.35">
      <c r="M5820" s="11"/>
    </row>
    <row r="5821" spans="13:13" x14ac:dyDescent="0.35">
      <c r="M5821" s="11"/>
    </row>
    <row r="5822" spans="13:13" x14ac:dyDescent="0.35">
      <c r="M5822" s="11"/>
    </row>
    <row r="5823" spans="13:13" x14ac:dyDescent="0.35">
      <c r="M5823" s="11"/>
    </row>
    <row r="5824" spans="13:13" x14ac:dyDescent="0.35">
      <c r="M5824" s="11"/>
    </row>
    <row r="5825" spans="13:13" x14ac:dyDescent="0.35">
      <c r="M5825" s="11"/>
    </row>
    <row r="5826" spans="13:13" x14ac:dyDescent="0.35">
      <c r="M5826" s="11"/>
    </row>
    <row r="5827" spans="13:13" x14ac:dyDescent="0.35">
      <c r="M5827" s="11"/>
    </row>
    <row r="5828" spans="13:13" x14ac:dyDescent="0.35">
      <c r="M5828" s="11"/>
    </row>
    <row r="5829" spans="13:13" x14ac:dyDescent="0.35">
      <c r="M5829" s="11"/>
    </row>
    <row r="5830" spans="13:13" x14ac:dyDescent="0.35">
      <c r="M5830" s="11"/>
    </row>
    <row r="5831" spans="13:13" x14ac:dyDescent="0.35">
      <c r="M5831" s="11"/>
    </row>
    <row r="5832" spans="13:13" x14ac:dyDescent="0.35">
      <c r="M5832" s="11"/>
    </row>
    <row r="5833" spans="13:13" x14ac:dyDescent="0.35">
      <c r="M5833" s="11"/>
    </row>
    <row r="5834" spans="13:13" x14ac:dyDescent="0.35">
      <c r="M5834" s="11"/>
    </row>
    <row r="5835" spans="13:13" x14ac:dyDescent="0.35">
      <c r="M5835" s="11"/>
    </row>
    <row r="5836" spans="13:13" x14ac:dyDescent="0.35">
      <c r="M5836" s="11"/>
    </row>
    <row r="5837" spans="13:13" x14ac:dyDescent="0.35">
      <c r="M5837" s="11"/>
    </row>
    <row r="5838" spans="13:13" x14ac:dyDescent="0.35">
      <c r="M5838" s="11"/>
    </row>
    <row r="5839" spans="13:13" x14ac:dyDescent="0.35">
      <c r="M5839" s="11"/>
    </row>
    <row r="5840" spans="13:13" x14ac:dyDescent="0.35">
      <c r="M5840" s="11"/>
    </row>
    <row r="5841" spans="13:13" x14ac:dyDescent="0.35">
      <c r="M5841" s="11"/>
    </row>
    <row r="5842" spans="13:13" x14ac:dyDescent="0.35">
      <c r="M5842" s="11"/>
    </row>
    <row r="5843" spans="13:13" x14ac:dyDescent="0.35">
      <c r="M5843" s="11"/>
    </row>
    <row r="5844" spans="13:13" x14ac:dyDescent="0.35">
      <c r="M5844" s="11"/>
    </row>
    <row r="5845" spans="13:13" x14ac:dyDescent="0.35">
      <c r="M5845" s="11"/>
    </row>
    <row r="5846" spans="13:13" x14ac:dyDescent="0.35">
      <c r="M5846" s="11"/>
    </row>
    <row r="5847" spans="13:13" x14ac:dyDescent="0.35">
      <c r="M5847" s="11"/>
    </row>
    <row r="5848" spans="13:13" x14ac:dyDescent="0.35">
      <c r="M5848" s="11"/>
    </row>
    <row r="5849" spans="13:13" x14ac:dyDescent="0.35">
      <c r="M5849" s="11"/>
    </row>
    <row r="5850" spans="13:13" x14ac:dyDescent="0.35">
      <c r="M5850" s="11"/>
    </row>
    <row r="5851" spans="13:13" x14ac:dyDescent="0.35">
      <c r="M5851" s="11"/>
    </row>
    <row r="5852" spans="13:13" x14ac:dyDescent="0.35">
      <c r="M5852" s="11"/>
    </row>
    <row r="5853" spans="13:13" x14ac:dyDescent="0.35">
      <c r="M5853" s="11"/>
    </row>
    <row r="5854" spans="13:13" x14ac:dyDescent="0.35">
      <c r="M5854" s="11"/>
    </row>
    <row r="5855" spans="13:13" x14ac:dyDescent="0.35">
      <c r="M5855" s="11"/>
    </row>
    <row r="5856" spans="13:13" x14ac:dyDescent="0.35">
      <c r="M5856" s="11"/>
    </row>
    <row r="5857" spans="13:13" x14ac:dyDescent="0.35">
      <c r="M5857" s="11"/>
    </row>
    <row r="5858" spans="13:13" x14ac:dyDescent="0.35">
      <c r="M5858" s="11"/>
    </row>
    <row r="5859" spans="13:13" x14ac:dyDescent="0.35">
      <c r="M5859" s="11"/>
    </row>
    <row r="5860" spans="13:13" x14ac:dyDescent="0.35">
      <c r="M5860" s="11"/>
    </row>
    <row r="5861" spans="13:13" x14ac:dyDescent="0.35">
      <c r="M5861" s="11"/>
    </row>
    <row r="5862" spans="13:13" x14ac:dyDescent="0.35">
      <c r="M5862" s="11"/>
    </row>
    <row r="5863" spans="13:13" x14ac:dyDescent="0.35">
      <c r="M5863" s="11"/>
    </row>
    <row r="5864" spans="13:13" x14ac:dyDescent="0.35">
      <c r="M5864" s="11"/>
    </row>
    <row r="5865" spans="13:13" x14ac:dyDescent="0.35">
      <c r="M5865" s="11"/>
    </row>
    <row r="5866" spans="13:13" x14ac:dyDescent="0.35">
      <c r="M5866" s="11"/>
    </row>
    <row r="5867" spans="13:13" x14ac:dyDescent="0.35">
      <c r="M5867" s="11"/>
    </row>
    <row r="5868" spans="13:13" x14ac:dyDescent="0.35">
      <c r="M5868" s="11"/>
    </row>
    <row r="5869" spans="13:13" x14ac:dyDescent="0.35">
      <c r="M5869" s="11"/>
    </row>
    <row r="5870" spans="13:13" x14ac:dyDescent="0.35">
      <c r="M5870" s="11"/>
    </row>
    <row r="5871" spans="13:13" x14ac:dyDescent="0.35">
      <c r="M5871" s="11"/>
    </row>
    <row r="5872" spans="13:13" x14ac:dyDescent="0.35">
      <c r="M5872" s="11"/>
    </row>
    <row r="5873" spans="13:13" x14ac:dyDescent="0.35">
      <c r="M5873" s="11"/>
    </row>
    <row r="5874" spans="13:13" x14ac:dyDescent="0.35">
      <c r="M5874" s="11"/>
    </row>
    <row r="5875" spans="13:13" x14ac:dyDescent="0.35">
      <c r="M5875" s="11"/>
    </row>
    <row r="5876" spans="13:13" x14ac:dyDescent="0.35">
      <c r="M5876" s="11"/>
    </row>
    <row r="5877" spans="13:13" x14ac:dyDescent="0.35">
      <c r="M5877" s="11"/>
    </row>
    <row r="5878" spans="13:13" x14ac:dyDescent="0.35">
      <c r="M5878" s="11"/>
    </row>
    <row r="5879" spans="13:13" x14ac:dyDescent="0.35">
      <c r="M5879" s="11"/>
    </row>
    <row r="5880" spans="13:13" x14ac:dyDescent="0.35">
      <c r="M5880" s="11"/>
    </row>
    <row r="5881" spans="13:13" x14ac:dyDescent="0.35">
      <c r="M5881" s="11"/>
    </row>
    <row r="5882" spans="13:13" x14ac:dyDescent="0.35">
      <c r="M5882" s="11"/>
    </row>
    <row r="5883" spans="13:13" x14ac:dyDescent="0.35">
      <c r="M5883" s="11"/>
    </row>
    <row r="5884" spans="13:13" x14ac:dyDescent="0.35">
      <c r="M5884" s="11"/>
    </row>
    <row r="5885" spans="13:13" x14ac:dyDescent="0.35">
      <c r="M5885" s="11"/>
    </row>
    <row r="5886" spans="13:13" x14ac:dyDescent="0.35">
      <c r="M5886" s="11"/>
    </row>
    <row r="5887" spans="13:13" x14ac:dyDescent="0.35">
      <c r="M5887" s="11"/>
    </row>
    <row r="5888" spans="13:13" x14ac:dyDescent="0.35">
      <c r="M5888" s="11"/>
    </row>
    <row r="5889" spans="13:13" x14ac:dyDescent="0.35">
      <c r="M5889" s="11"/>
    </row>
    <row r="5890" spans="13:13" x14ac:dyDescent="0.35">
      <c r="M5890" s="11"/>
    </row>
    <row r="5891" spans="13:13" x14ac:dyDescent="0.35">
      <c r="M5891" s="11"/>
    </row>
    <row r="5892" spans="13:13" x14ac:dyDescent="0.35">
      <c r="M5892" s="11"/>
    </row>
    <row r="5893" spans="13:13" x14ac:dyDescent="0.35">
      <c r="M5893" s="11"/>
    </row>
    <row r="5894" spans="13:13" x14ac:dyDescent="0.35">
      <c r="M5894" s="11"/>
    </row>
    <row r="5895" spans="13:13" x14ac:dyDescent="0.35">
      <c r="M5895" s="11"/>
    </row>
    <row r="5896" spans="13:13" x14ac:dyDescent="0.35">
      <c r="M5896" s="11"/>
    </row>
    <row r="5897" spans="13:13" x14ac:dyDescent="0.35">
      <c r="M5897" s="11"/>
    </row>
    <row r="5898" spans="13:13" x14ac:dyDescent="0.35">
      <c r="M5898" s="11"/>
    </row>
    <row r="5899" spans="13:13" x14ac:dyDescent="0.35">
      <c r="M5899" s="11"/>
    </row>
    <row r="5900" spans="13:13" x14ac:dyDescent="0.35">
      <c r="M5900" s="11"/>
    </row>
    <row r="5901" spans="13:13" x14ac:dyDescent="0.35">
      <c r="M5901" s="11"/>
    </row>
    <row r="5902" spans="13:13" x14ac:dyDescent="0.35">
      <c r="M5902" s="11"/>
    </row>
    <row r="5903" spans="13:13" x14ac:dyDescent="0.35">
      <c r="M5903" s="11"/>
    </row>
    <row r="5904" spans="13:13" x14ac:dyDescent="0.35">
      <c r="M5904" s="11"/>
    </row>
    <row r="5905" spans="13:13" x14ac:dyDescent="0.35">
      <c r="M5905" s="11"/>
    </row>
    <row r="5906" spans="13:13" x14ac:dyDescent="0.35">
      <c r="M5906" s="11"/>
    </row>
    <row r="5907" spans="13:13" x14ac:dyDescent="0.35">
      <c r="M5907" s="11"/>
    </row>
    <row r="5908" spans="13:13" x14ac:dyDescent="0.35">
      <c r="M5908" s="11"/>
    </row>
    <row r="5909" spans="13:13" x14ac:dyDescent="0.35">
      <c r="M5909" s="11"/>
    </row>
    <row r="5910" spans="13:13" x14ac:dyDescent="0.35">
      <c r="M5910" s="11"/>
    </row>
    <row r="5911" spans="13:13" x14ac:dyDescent="0.35">
      <c r="M5911" s="11"/>
    </row>
    <row r="5912" spans="13:13" x14ac:dyDescent="0.35">
      <c r="M5912" s="11"/>
    </row>
    <row r="5913" spans="13:13" x14ac:dyDescent="0.35">
      <c r="M5913" s="11"/>
    </row>
    <row r="5914" spans="13:13" x14ac:dyDescent="0.35">
      <c r="M5914" s="11"/>
    </row>
    <row r="5915" spans="13:13" x14ac:dyDescent="0.35">
      <c r="M5915" s="11"/>
    </row>
    <row r="5916" spans="13:13" x14ac:dyDescent="0.35">
      <c r="M5916" s="11"/>
    </row>
    <row r="5917" spans="13:13" x14ac:dyDescent="0.35">
      <c r="M5917" s="11"/>
    </row>
    <row r="5918" spans="13:13" x14ac:dyDescent="0.35">
      <c r="M5918" s="11"/>
    </row>
    <row r="5919" spans="13:13" x14ac:dyDescent="0.35">
      <c r="M5919" s="11"/>
    </row>
    <row r="5920" spans="13:13" x14ac:dyDescent="0.35">
      <c r="M5920" s="11"/>
    </row>
    <row r="5921" spans="13:13" x14ac:dyDescent="0.35">
      <c r="M5921" s="11"/>
    </row>
    <row r="5922" spans="13:13" x14ac:dyDescent="0.35">
      <c r="M5922" s="11"/>
    </row>
    <row r="5923" spans="13:13" x14ac:dyDescent="0.35">
      <c r="M5923" s="11"/>
    </row>
    <row r="5924" spans="13:13" x14ac:dyDescent="0.35">
      <c r="M5924" s="11"/>
    </row>
    <row r="5925" spans="13:13" x14ac:dyDescent="0.35">
      <c r="M5925" s="11"/>
    </row>
    <row r="5926" spans="13:13" x14ac:dyDescent="0.35">
      <c r="M5926" s="11"/>
    </row>
    <row r="5927" spans="13:13" x14ac:dyDescent="0.35">
      <c r="M5927" s="11"/>
    </row>
    <row r="5928" spans="13:13" x14ac:dyDescent="0.35">
      <c r="M5928" s="11"/>
    </row>
    <row r="5929" spans="13:13" x14ac:dyDescent="0.35">
      <c r="M5929" s="11"/>
    </row>
    <row r="5930" spans="13:13" x14ac:dyDescent="0.35">
      <c r="M5930" s="11"/>
    </row>
    <row r="5931" spans="13:13" x14ac:dyDescent="0.35">
      <c r="M5931" s="11"/>
    </row>
    <row r="5932" spans="13:13" x14ac:dyDescent="0.35">
      <c r="M5932" s="11"/>
    </row>
    <row r="5933" spans="13:13" x14ac:dyDescent="0.35">
      <c r="M5933" s="11"/>
    </row>
    <row r="5934" spans="13:13" x14ac:dyDescent="0.35">
      <c r="M5934" s="11"/>
    </row>
    <row r="5935" spans="13:13" x14ac:dyDescent="0.35">
      <c r="M5935" s="11"/>
    </row>
    <row r="5936" spans="13:13" x14ac:dyDescent="0.35">
      <c r="M5936" s="11"/>
    </row>
    <row r="5937" spans="13:13" x14ac:dyDescent="0.35">
      <c r="M5937" s="11"/>
    </row>
    <row r="5938" spans="13:13" x14ac:dyDescent="0.35">
      <c r="M5938" s="11"/>
    </row>
    <row r="5939" spans="13:13" x14ac:dyDescent="0.35">
      <c r="M5939" s="11"/>
    </row>
    <row r="5940" spans="13:13" x14ac:dyDescent="0.35">
      <c r="M5940" s="11"/>
    </row>
    <row r="5941" spans="13:13" x14ac:dyDescent="0.35">
      <c r="M5941" s="11"/>
    </row>
    <row r="5942" spans="13:13" x14ac:dyDescent="0.35">
      <c r="M5942" s="11"/>
    </row>
    <row r="5943" spans="13:13" x14ac:dyDescent="0.35">
      <c r="M5943" s="11"/>
    </row>
    <row r="5944" spans="13:13" x14ac:dyDescent="0.35">
      <c r="M5944" s="11"/>
    </row>
    <row r="5945" spans="13:13" x14ac:dyDescent="0.35">
      <c r="M5945" s="11"/>
    </row>
    <row r="5946" spans="13:13" x14ac:dyDescent="0.35">
      <c r="M5946" s="11"/>
    </row>
    <row r="5947" spans="13:13" x14ac:dyDescent="0.35">
      <c r="M5947" s="11"/>
    </row>
    <row r="5948" spans="13:13" x14ac:dyDescent="0.35">
      <c r="M5948" s="11"/>
    </row>
    <row r="5949" spans="13:13" x14ac:dyDescent="0.35">
      <c r="M5949" s="11"/>
    </row>
    <row r="5950" spans="13:13" x14ac:dyDescent="0.35">
      <c r="M5950" s="11"/>
    </row>
    <row r="5951" spans="13:13" x14ac:dyDescent="0.35">
      <c r="M5951" s="11"/>
    </row>
    <row r="5952" spans="13:13" x14ac:dyDescent="0.35">
      <c r="M5952" s="11"/>
    </row>
    <row r="5953" spans="13:13" x14ac:dyDescent="0.35">
      <c r="M5953" s="11"/>
    </row>
    <row r="5954" spans="13:13" x14ac:dyDescent="0.35">
      <c r="M5954" s="11"/>
    </row>
    <row r="5955" spans="13:13" x14ac:dyDescent="0.35">
      <c r="M5955" s="11"/>
    </row>
    <row r="5956" spans="13:13" x14ac:dyDescent="0.35">
      <c r="M5956" s="11"/>
    </row>
    <row r="5957" spans="13:13" x14ac:dyDescent="0.35">
      <c r="M5957" s="11"/>
    </row>
    <row r="5958" spans="13:13" x14ac:dyDescent="0.35">
      <c r="M5958" s="11"/>
    </row>
    <row r="5959" spans="13:13" x14ac:dyDescent="0.35">
      <c r="M5959" s="11"/>
    </row>
    <row r="5960" spans="13:13" x14ac:dyDescent="0.35">
      <c r="M5960" s="11"/>
    </row>
    <row r="5961" spans="13:13" x14ac:dyDescent="0.35">
      <c r="M5961" s="11"/>
    </row>
    <row r="5962" spans="13:13" x14ac:dyDescent="0.35">
      <c r="M5962" s="11"/>
    </row>
    <row r="5963" spans="13:13" x14ac:dyDescent="0.35">
      <c r="M5963" s="11"/>
    </row>
    <row r="5964" spans="13:13" x14ac:dyDescent="0.35">
      <c r="M5964" s="11"/>
    </row>
    <row r="5965" spans="13:13" x14ac:dyDescent="0.35">
      <c r="M5965" s="11"/>
    </row>
    <row r="5966" spans="13:13" x14ac:dyDescent="0.35">
      <c r="M5966" s="11"/>
    </row>
    <row r="5967" spans="13:13" x14ac:dyDescent="0.35">
      <c r="M5967" s="11"/>
    </row>
    <row r="5968" spans="13:13" x14ac:dyDescent="0.35">
      <c r="M5968" s="11"/>
    </row>
    <row r="5969" spans="13:13" x14ac:dyDescent="0.35">
      <c r="M5969" s="11"/>
    </row>
    <row r="5970" spans="13:13" x14ac:dyDescent="0.35">
      <c r="M5970" s="11"/>
    </row>
    <row r="5971" spans="13:13" x14ac:dyDescent="0.35">
      <c r="M5971" s="11"/>
    </row>
    <row r="5972" spans="13:13" x14ac:dyDescent="0.35">
      <c r="M5972" s="11"/>
    </row>
    <row r="5973" spans="13:13" x14ac:dyDescent="0.35">
      <c r="M5973" s="11"/>
    </row>
    <row r="5974" spans="13:13" x14ac:dyDescent="0.35">
      <c r="M5974" s="11"/>
    </row>
    <row r="5975" spans="13:13" x14ac:dyDescent="0.35">
      <c r="M5975" s="11"/>
    </row>
    <row r="5976" spans="13:13" x14ac:dyDescent="0.35">
      <c r="M5976" s="11"/>
    </row>
    <row r="5977" spans="13:13" x14ac:dyDescent="0.35">
      <c r="M5977" s="11"/>
    </row>
    <row r="5978" spans="13:13" x14ac:dyDescent="0.35">
      <c r="M5978" s="11"/>
    </row>
    <row r="5979" spans="13:13" x14ac:dyDescent="0.35">
      <c r="M5979" s="11"/>
    </row>
    <row r="5980" spans="13:13" x14ac:dyDescent="0.35">
      <c r="M5980" s="11"/>
    </row>
    <row r="5981" spans="13:13" x14ac:dyDescent="0.35">
      <c r="M5981" s="11"/>
    </row>
    <row r="5982" spans="13:13" x14ac:dyDescent="0.35">
      <c r="M5982" s="11"/>
    </row>
    <row r="5983" spans="13:13" x14ac:dyDescent="0.35">
      <c r="M5983" s="11"/>
    </row>
    <row r="5984" spans="13:13" x14ac:dyDescent="0.35">
      <c r="M5984" s="11"/>
    </row>
    <row r="5985" spans="13:13" x14ac:dyDescent="0.35">
      <c r="M5985" s="11"/>
    </row>
    <row r="5986" spans="13:13" x14ac:dyDescent="0.35">
      <c r="M5986" s="11"/>
    </row>
    <row r="5987" spans="13:13" x14ac:dyDescent="0.35">
      <c r="M5987" s="11"/>
    </row>
    <row r="5988" spans="13:13" x14ac:dyDescent="0.35">
      <c r="M5988" s="11"/>
    </row>
    <row r="5989" spans="13:13" x14ac:dyDescent="0.35">
      <c r="M5989" s="11"/>
    </row>
    <row r="5990" spans="13:13" x14ac:dyDescent="0.35">
      <c r="M5990" s="11"/>
    </row>
    <row r="5991" spans="13:13" x14ac:dyDescent="0.35">
      <c r="M5991" s="11"/>
    </row>
    <row r="5992" spans="13:13" x14ac:dyDescent="0.35">
      <c r="M5992" s="11"/>
    </row>
    <row r="5993" spans="13:13" x14ac:dyDescent="0.35">
      <c r="M5993" s="11"/>
    </row>
    <row r="5994" spans="13:13" x14ac:dyDescent="0.35">
      <c r="M5994" s="11"/>
    </row>
    <row r="5995" spans="13:13" x14ac:dyDescent="0.35">
      <c r="M5995" s="11"/>
    </row>
    <row r="5996" spans="13:13" x14ac:dyDescent="0.35">
      <c r="M5996" s="11"/>
    </row>
    <row r="5997" spans="13:13" x14ac:dyDescent="0.35">
      <c r="M5997" s="11"/>
    </row>
    <row r="5998" spans="13:13" x14ac:dyDescent="0.35">
      <c r="M5998" s="11"/>
    </row>
    <row r="5999" spans="13:13" x14ac:dyDescent="0.35">
      <c r="M5999" s="11"/>
    </row>
    <row r="6000" spans="13:13" x14ac:dyDescent="0.35">
      <c r="M6000" s="11"/>
    </row>
    <row r="6001" spans="13:13" x14ac:dyDescent="0.35">
      <c r="M6001" s="11"/>
    </row>
    <row r="6002" spans="13:13" x14ac:dyDescent="0.35">
      <c r="M6002" s="11"/>
    </row>
    <row r="6003" spans="13:13" x14ac:dyDescent="0.35">
      <c r="M6003" s="11"/>
    </row>
    <row r="6004" spans="13:13" x14ac:dyDescent="0.35">
      <c r="M6004" s="11"/>
    </row>
    <row r="6005" spans="13:13" x14ac:dyDescent="0.35">
      <c r="M6005" s="11"/>
    </row>
    <row r="6006" spans="13:13" x14ac:dyDescent="0.35">
      <c r="M6006" s="11"/>
    </row>
    <row r="6007" spans="13:13" x14ac:dyDescent="0.35">
      <c r="M6007" s="11"/>
    </row>
    <row r="6008" spans="13:13" x14ac:dyDescent="0.35">
      <c r="M6008" s="11"/>
    </row>
    <row r="6009" spans="13:13" x14ac:dyDescent="0.35">
      <c r="M6009" s="11"/>
    </row>
    <row r="6010" spans="13:13" x14ac:dyDescent="0.35">
      <c r="M6010" s="11"/>
    </row>
    <row r="6011" spans="13:13" x14ac:dyDescent="0.35">
      <c r="M6011" s="11"/>
    </row>
    <row r="6012" spans="13:13" x14ac:dyDescent="0.35">
      <c r="M6012" s="11"/>
    </row>
    <row r="6013" spans="13:13" x14ac:dyDescent="0.35">
      <c r="M6013" s="11"/>
    </row>
    <row r="6014" spans="13:13" x14ac:dyDescent="0.35">
      <c r="M6014" s="11"/>
    </row>
    <row r="6015" spans="13:13" x14ac:dyDescent="0.35">
      <c r="M6015" s="11"/>
    </row>
    <row r="6016" spans="13:13" x14ac:dyDescent="0.35">
      <c r="M6016" s="11"/>
    </row>
    <row r="6017" spans="13:13" x14ac:dyDescent="0.35">
      <c r="M6017" s="11"/>
    </row>
    <row r="6018" spans="13:13" x14ac:dyDescent="0.35">
      <c r="M6018" s="11"/>
    </row>
    <row r="6019" spans="13:13" x14ac:dyDescent="0.35">
      <c r="M6019" s="11"/>
    </row>
    <row r="6020" spans="13:13" x14ac:dyDescent="0.35">
      <c r="M6020" s="11"/>
    </row>
    <row r="6021" spans="13:13" x14ac:dyDescent="0.35">
      <c r="M6021" s="11"/>
    </row>
    <row r="6022" spans="13:13" x14ac:dyDescent="0.35">
      <c r="M6022" s="11"/>
    </row>
    <row r="6023" spans="13:13" x14ac:dyDescent="0.35">
      <c r="M6023" s="11"/>
    </row>
    <row r="6024" spans="13:13" x14ac:dyDescent="0.35">
      <c r="M6024" s="11"/>
    </row>
    <row r="6025" spans="13:13" x14ac:dyDescent="0.35">
      <c r="M6025" s="11"/>
    </row>
    <row r="6026" spans="13:13" x14ac:dyDescent="0.35">
      <c r="M6026" s="11"/>
    </row>
    <row r="6027" spans="13:13" x14ac:dyDescent="0.35">
      <c r="M6027" s="11"/>
    </row>
    <row r="6028" spans="13:13" x14ac:dyDescent="0.35">
      <c r="M6028" s="11"/>
    </row>
    <row r="6029" spans="13:13" x14ac:dyDescent="0.35">
      <c r="M6029" s="11"/>
    </row>
    <row r="6030" spans="13:13" x14ac:dyDescent="0.35">
      <c r="M6030" s="11"/>
    </row>
    <row r="6031" spans="13:13" x14ac:dyDescent="0.35">
      <c r="M6031" s="11"/>
    </row>
    <row r="6032" spans="13:13" x14ac:dyDescent="0.35">
      <c r="M6032" s="11"/>
    </row>
    <row r="6033" spans="13:13" x14ac:dyDescent="0.35">
      <c r="M6033" s="11"/>
    </row>
    <row r="6034" spans="13:13" x14ac:dyDescent="0.35">
      <c r="M6034" s="11"/>
    </row>
    <row r="6035" spans="13:13" x14ac:dyDescent="0.35">
      <c r="M6035" s="11"/>
    </row>
    <row r="6036" spans="13:13" x14ac:dyDescent="0.35">
      <c r="M6036" s="11"/>
    </row>
    <row r="6037" spans="13:13" x14ac:dyDescent="0.35">
      <c r="M6037" s="11"/>
    </row>
    <row r="6038" spans="13:13" x14ac:dyDescent="0.35">
      <c r="M6038" s="11"/>
    </row>
    <row r="6039" spans="13:13" x14ac:dyDescent="0.35">
      <c r="M6039" s="11"/>
    </row>
    <row r="6040" spans="13:13" x14ac:dyDescent="0.35">
      <c r="M6040" s="11"/>
    </row>
    <row r="6041" spans="13:13" x14ac:dyDescent="0.35">
      <c r="M6041" s="11"/>
    </row>
    <row r="6042" spans="13:13" x14ac:dyDescent="0.35">
      <c r="M6042" s="11"/>
    </row>
    <row r="6043" spans="13:13" x14ac:dyDescent="0.35">
      <c r="M6043" s="11"/>
    </row>
    <row r="6044" spans="13:13" x14ac:dyDescent="0.35">
      <c r="M6044" s="11"/>
    </row>
    <row r="6045" spans="13:13" x14ac:dyDescent="0.35">
      <c r="M6045" s="11"/>
    </row>
    <row r="6046" spans="13:13" x14ac:dyDescent="0.35">
      <c r="M6046" s="11"/>
    </row>
    <row r="6047" spans="13:13" x14ac:dyDescent="0.35">
      <c r="M6047" s="11"/>
    </row>
    <row r="6048" spans="13:13" x14ac:dyDescent="0.35">
      <c r="M6048" s="11"/>
    </row>
    <row r="6049" spans="13:13" x14ac:dyDescent="0.35">
      <c r="M6049" s="11"/>
    </row>
    <row r="6050" spans="13:13" x14ac:dyDescent="0.35">
      <c r="M6050" s="11"/>
    </row>
    <row r="6051" spans="13:13" x14ac:dyDescent="0.35">
      <c r="M6051" s="11"/>
    </row>
    <row r="6052" spans="13:13" x14ac:dyDescent="0.35">
      <c r="M6052" s="11"/>
    </row>
    <row r="6053" spans="13:13" x14ac:dyDescent="0.35">
      <c r="M6053" s="11"/>
    </row>
    <row r="6054" spans="13:13" x14ac:dyDescent="0.35">
      <c r="M6054" s="11"/>
    </row>
    <row r="6055" spans="13:13" x14ac:dyDescent="0.35">
      <c r="M6055" s="11"/>
    </row>
    <row r="6056" spans="13:13" x14ac:dyDescent="0.35">
      <c r="M6056" s="11"/>
    </row>
    <row r="6057" spans="13:13" x14ac:dyDescent="0.35">
      <c r="M6057" s="11"/>
    </row>
    <row r="6058" spans="13:13" x14ac:dyDescent="0.35">
      <c r="M6058" s="11"/>
    </row>
    <row r="6059" spans="13:13" x14ac:dyDescent="0.35">
      <c r="M6059" s="11"/>
    </row>
    <row r="6060" spans="13:13" x14ac:dyDescent="0.35">
      <c r="M6060" s="11"/>
    </row>
    <row r="6061" spans="13:13" x14ac:dyDescent="0.35">
      <c r="M6061" s="11"/>
    </row>
    <row r="6062" spans="13:13" x14ac:dyDescent="0.35">
      <c r="M6062" s="11"/>
    </row>
    <row r="6063" spans="13:13" x14ac:dyDescent="0.35">
      <c r="M6063" s="11"/>
    </row>
    <row r="6064" spans="13:13" x14ac:dyDescent="0.35">
      <c r="M6064" s="11"/>
    </row>
    <row r="6065" spans="13:13" x14ac:dyDescent="0.35">
      <c r="M6065" s="11"/>
    </row>
    <row r="6066" spans="13:13" x14ac:dyDescent="0.35">
      <c r="M6066" s="11"/>
    </row>
    <row r="6067" spans="13:13" x14ac:dyDescent="0.35">
      <c r="M6067" s="11"/>
    </row>
    <row r="6068" spans="13:13" x14ac:dyDescent="0.35">
      <c r="M6068" s="11"/>
    </row>
    <row r="6069" spans="13:13" x14ac:dyDescent="0.35">
      <c r="M6069" s="11"/>
    </row>
    <row r="6070" spans="13:13" x14ac:dyDescent="0.35">
      <c r="M6070" s="11"/>
    </row>
    <row r="6071" spans="13:13" x14ac:dyDescent="0.35">
      <c r="M6071" s="11"/>
    </row>
    <row r="6072" spans="13:13" x14ac:dyDescent="0.35">
      <c r="M6072" s="11"/>
    </row>
    <row r="6073" spans="13:13" x14ac:dyDescent="0.35">
      <c r="M6073" s="11"/>
    </row>
    <row r="6074" spans="13:13" x14ac:dyDescent="0.35">
      <c r="M6074" s="11"/>
    </row>
    <row r="6075" spans="13:13" x14ac:dyDescent="0.35">
      <c r="M6075" s="11"/>
    </row>
    <row r="6076" spans="13:13" x14ac:dyDescent="0.35">
      <c r="M6076" s="11"/>
    </row>
    <row r="6077" spans="13:13" x14ac:dyDescent="0.35">
      <c r="M6077" s="11"/>
    </row>
    <row r="6078" spans="13:13" x14ac:dyDescent="0.35">
      <c r="M6078" s="11"/>
    </row>
    <row r="6079" spans="13:13" x14ac:dyDescent="0.35">
      <c r="M6079" s="11"/>
    </row>
    <row r="6080" spans="13:13" x14ac:dyDescent="0.35">
      <c r="M6080" s="11"/>
    </row>
    <row r="6081" spans="13:13" x14ac:dyDescent="0.35">
      <c r="M6081" s="11"/>
    </row>
    <row r="6082" spans="13:13" x14ac:dyDescent="0.35">
      <c r="M6082" s="11"/>
    </row>
    <row r="6083" spans="13:13" x14ac:dyDescent="0.35">
      <c r="M6083" s="11"/>
    </row>
    <row r="6084" spans="13:13" x14ac:dyDescent="0.35">
      <c r="M6084" s="11"/>
    </row>
    <row r="6085" spans="13:13" x14ac:dyDescent="0.35">
      <c r="M6085" s="11"/>
    </row>
    <row r="6086" spans="13:13" x14ac:dyDescent="0.35">
      <c r="M6086" s="11"/>
    </row>
    <row r="6087" spans="13:13" x14ac:dyDescent="0.35">
      <c r="M6087" s="11"/>
    </row>
    <row r="6088" spans="13:13" x14ac:dyDescent="0.35">
      <c r="M6088" s="11"/>
    </row>
    <row r="6089" spans="13:13" x14ac:dyDescent="0.35">
      <c r="M6089" s="11"/>
    </row>
    <row r="6090" spans="13:13" x14ac:dyDescent="0.35">
      <c r="M6090" s="11"/>
    </row>
    <row r="6091" spans="13:13" x14ac:dyDescent="0.35">
      <c r="M6091" s="11"/>
    </row>
    <row r="6092" spans="13:13" x14ac:dyDescent="0.35">
      <c r="M6092" s="11"/>
    </row>
    <row r="6093" spans="13:13" x14ac:dyDescent="0.35">
      <c r="M6093" s="11"/>
    </row>
    <row r="6094" spans="13:13" x14ac:dyDescent="0.35">
      <c r="M6094" s="11"/>
    </row>
    <row r="6095" spans="13:13" x14ac:dyDescent="0.35">
      <c r="M6095" s="11"/>
    </row>
    <row r="6096" spans="13:13" x14ac:dyDescent="0.35">
      <c r="M6096" s="11"/>
    </row>
    <row r="6097" spans="13:13" x14ac:dyDescent="0.35">
      <c r="M6097" s="11"/>
    </row>
    <row r="6098" spans="13:13" x14ac:dyDescent="0.35">
      <c r="M6098" s="11"/>
    </row>
    <row r="6099" spans="13:13" x14ac:dyDescent="0.35">
      <c r="M6099" s="11"/>
    </row>
    <row r="6100" spans="13:13" x14ac:dyDescent="0.35">
      <c r="M6100" s="11"/>
    </row>
    <row r="6101" spans="13:13" x14ac:dyDescent="0.35">
      <c r="M6101" s="11"/>
    </row>
    <row r="6102" spans="13:13" x14ac:dyDescent="0.35">
      <c r="M6102" s="11"/>
    </row>
    <row r="6103" spans="13:13" x14ac:dyDescent="0.35">
      <c r="M6103" s="11"/>
    </row>
    <row r="6104" spans="13:13" x14ac:dyDescent="0.35">
      <c r="M6104" s="11"/>
    </row>
    <row r="6105" spans="13:13" x14ac:dyDescent="0.35">
      <c r="M6105" s="11"/>
    </row>
    <row r="6106" spans="13:13" x14ac:dyDescent="0.35">
      <c r="M6106" s="11"/>
    </row>
    <row r="6107" spans="13:13" x14ac:dyDescent="0.35">
      <c r="M6107" s="11"/>
    </row>
    <row r="6108" spans="13:13" x14ac:dyDescent="0.35">
      <c r="M6108" s="11"/>
    </row>
    <row r="6109" spans="13:13" x14ac:dyDescent="0.35">
      <c r="M6109" s="11"/>
    </row>
    <row r="6110" spans="13:13" x14ac:dyDescent="0.35">
      <c r="M6110" s="11"/>
    </row>
    <row r="6111" spans="13:13" x14ac:dyDescent="0.35">
      <c r="M6111" s="11"/>
    </row>
    <row r="6112" spans="13:13" x14ac:dyDescent="0.35">
      <c r="M6112" s="11"/>
    </row>
    <row r="6113" spans="13:13" x14ac:dyDescent="0.35">
      <c r="M6113" s="11"/>
    </row>
    <row r="6114" spans="13:13" x14ac:dyDescent="0.35">
      <c r="M6114" s="11"/>
    </row>
    <row r="6115" spans="13:13" x14ac:dyDescent="0.35">
      <c r="M6115" s="11"/>
    </row>
    <row r="6116" spans="13:13" x14ac:dyDescent="0.35">
      <c r="M6116" s="11"/>
    </row>
    <row r="6117" spans="13:13" x14ac:dyDescent="0.35">
      <c r="M6117" s="11"/>
    </row>
    <row r="6118" spans="13:13" x14ac:dyDescent="0.35">
      <c r="M6118" s="11"/>
    </row>
    <row r="6119" spans="13:13" x14ac:dyDescent="0.35">
      <c r="M6119" s="11"/>
    </row>
    <row r="6120" spans="13:13" x14ac:dyDescent="0.35">
      <c r="M6120" s="11"/>
    </row>
    <row r="6121" spans="13:13" x14ac:dyDescent="0.35">
      <c r="M6121" s="11"/>
    </row>
    <row r="6122" spans="13:13" x14ac:dyDescent="0.35">
      <c r="M6122" s="11"/>
    </row>
    <row r="6123" spans="13:13" x14ac:dyDescent="0.35">
      <c r="M6123" s="11"/>
    </row>
    <row r="6124" spans="13:13" x14ac:dyDescent="0.35">
      <c r="M6124" s="11"/>
    </row>
    <row r="6125" spans="13:13" x14ac:dyDescent="0.35">
      <c r="M6125" s="11"/>
    </row>
    <row r="6126" spans="13:13" x14ac:dyDescent="0.35">
      <c r="M6126" s="11"/>
    </row>
    <row r="6127" spans="13:13" x14ac:dyDescent="0.35">
      <c r="M6127" s="11"/>
    </row>
    <row r="6128" spans="13:13" x14ac:dyDescent="0.35">
      <c r="M6128" s="11"/>
    </row>
    <row r="6129" spans="13:13" x14ac:dyDescent="0.35">
      <c r="M6129" s="11"/>
    </row>
    <row r="6130" spans="13:13" x14ac:dyDescent="0.35">
      <c r="M6130" s="11"/>
    </row>
    <row r="6131" spans="13:13" x14ac:dyDescent="0.35">
      <c r="M6131" s="11"/>
    </row>
    <row r="6132" spans="13:13" x14ac:dyDescent="0.35">
      <c r="M6132" s="11"/>
    </row>
    <row r="6133" spans="13:13" x14ac:dyDescent="0.35">
      <c r="M6133" s="11"/>
    </row>
    <row r="6134" spans="13:13" x14ac:dyDescent="0.35">
      <c r="M6134" s="11"/>
    </row>
    <row r="6135" spans="13:13" x14ac:dyDescent="0.35">
      <c r="M6135" s="11"/>
    </row>
    <row r="6136" spans="13:13" x14ac:dyDescent="0.35">
      <c r="M6136" s="11"/>
    </row>
    <row r="6137" spans="13:13" x14ac:dyDescent="0.35">
      <c r="M6137" s="11"/>
    </row>
    <row r="6138" spans="13:13" x14ac:dyDescent="0.35">
      <c r="M6138" s="11"/>
    </row>
    <row r="6139" spans="13:13" x14ac:dyDescent="0.35">
      <c r="M6139" s="11"/>
    </row>
    <row r="6140" spans="13:13" x14ac:dyDescent="0.35">
      <c r="M6140" s="11"/>
    </row>
    <row r="6141" spans="13:13" x14ac:dyDescent="0.35">
      <c r="M6141" s="11"/>
    </row>
    <row r="6142" spans="13:13" x14ac:dyDescent="0.35">
      <c r="M6142" s="11"/>
    </row>
    <row r="6143" spans="13:13" x14ac:dyDescent="0.35">
      <c r="M6143" s="11"/>
    </row>
    <row r="6144" spans="13:13" x14ac:dyDescent="0.35">
      <c r="M6144" s="11"/>
    </row>
    <row r="6145" spans="13:13" x14ac:dyDescent="0.35">
      <c r="M6145" s="11"/>
    </row>
    <row r="6146" spans="13:13" x14ac:dyDescent="0.35">
      <c r="M6146" s="11"/>
    </row>
    <row r="6147" spans="13:13" x14ac:dyDescent="0.35">
      <c r="M6147" s="11"/>
    </row>
    <row r="6148" spans="13:13" x14ac:dyDescent="0.35">
      <c r="M6148" s="11"/>
    </row>
    <row r="6149" spans="13:13" x14ac:dyDescent="0.35">
      <c r="M6149" s="11"/>
    </row>
    <row r="6150" spans="13:13" x14ac:dyDescent="0.35">
      <c r="M6150" s="11"/>
    </row>
    <row r="6151" spans="13:13" x14ac:dyDescent="0.35">
      <c r="M6151" s="11"/>
    </row>
    <row r="6152" spans="13:13" x14ac:dyDescent="0.35">
      <c r="M6152" s="11"/>
    </row>
    <row r="6153" spans="13:13" x14ac:dyDescent="0.35">
      <c r="M6153" s="11"/>
    </row>
    <row r="6154" spans="13:13" x14ac:dyDescent="0.35">
      <c r="M6154" s="11"/>
    </row>
    <row r="6155" spans="13:13" x14ac:dyDescent="0.35">
      <c r="M6155" s="11"/>
    </row>
    <row r="6156" spans="13:13" x14ac:dyDescent="0.35">
      <c r="M6156" s="11"/>
    </row>
    <row r="6157" spans="13:13" x14ac:dyDescent="0.35">
      <c r="M6157" s="11"/>
    </row>
    <row r="6158" spans="13:13" x14ac:dyDescent="0.35">
      <c r="M6158" s="11"/>
    </row>
    <row r="6159" spans="13:13" x14ac:dyDescent="0.35">
      <c r="M6159" s="11"/>
    </row>
    <row r="6160" spans="13:13" x14ac:dyDescent="0.35">
      <c r="M6160" s="11"/>
    </row>
    <row r="6161" spans="13:13" x14ac:dyDescent="0.35">
      <c r="M6161" s="11"/>
    </row>
    <row r="6162" spans="13:13" x14ac:dyDescent="0.35">
      <c r="M6162" s="11"/>
    </row>
    <row r="6163" spans="13:13" x14ac:dyDescent="0.35">
      <c r="M6163" s="11"/>
    </row>
    <row r="6164" spans="13:13" x14ac:dyDescent="0.35">
      <c r="M6164" s="11"/>
    </row>
    <row r="6165" spans="13:13" x14ac:dyDescent="0.35">
      <c r="M6165" s="11"/>
    </row>
    <row r="6166" spans="13:13" x14ac:dyDescent="0.35">
      <c r="M6166" s="11"/>
    </row>
    <row r="6167" spans="13:13" x14ac:dyDescent="0.35">
      <c r="M6167" s="11"/>
    </row>
    <row r="6168" spans="13:13" x14ac:dyDescent="0.35">
      <c r="M6168" s="11"/>
    </row>
    <row r="6169" spans="13:13" x14ac:dyDescent="0.35">
      <c r="M6169" s="11"/>
    </row>
    <row r="6170" spans="13:13" x14ac:dyDescent="0.35">
      <c r="M6170" s="11"/>
    </row>
    <row r="6171" spans="13:13" x14ac:dyDescent="0.35">
      <c r="M6171" s="11"/>
    </row>
    <row r="6172" spans="13:13" x14ac:dyDescent="0.35">
      <c r="M6172" s="11"/>
    </row>
    <row r="6173" spans="13:13" x14ac:dyDescent="0.35">
      <c r="M6173" s="11"/>
    </row>
    <row r="6174" spans="13:13" x14ac:dyDescent="0.35">
      <c r="M6174" s="11"/>
    </row>
    <row r="6175" spans="13:13" x14ac:dyDescent="0.35">
      <c r="M6175" s="11"/>
    </row>
    <row r="6176" spans="13:13" x14ac:dyDescent="0.35">
      <c r="M6176" s="11"/>
    </row>
    <row r="6177" spans="13:13" x14ac:dyDescent="0.35">
      <c r="M6177" s="11"/>
    </row>
    <row r="6178" spans="13:13" x14ac:dyDescent="0.35">
      <c r="M6178" s="11"/>
    </row>
    <row r="6179" spans="13:13" x14ac:dyDescent="0.35">
      <c r="M6179" s="11"/>
    </row>
    <row r="6180" spans="13:13" x14ac:dyDescent="0.35">
      <c r="M6180" s="11"/>
    </row>
    <row r="6181" spans="13:13" x14ac:dyDescent="0.35">
      <c r="M6181" s="11"/>
    </row>
    <row r="6182" spans="13:13" x14ac:dyDescent="0.35">
      <c r="M6182" s="11"/>
    </row>
    <row r="6183" spans="13:13" x14ac:dyDescent="0.35">
      <c r="M6183" s="11"/>
    </row>
    <row r="6184" spans="13:13" x14ac:dyDescent="0.35">
      <c r="M6184" s="11"/>
    </row>
    <row r="6185" spans="13:13" x14ac:dyDescent="0.35">
      <c r="M6185" s="11"/>
    </row>
    <row r="6186" spans="13:13" x14ac:dyDescent="0.35">
      <c r="M6186" s="11"/>
    </row>
    <row r="6187" spans="13:13" x14ac:dyDescent="0.35">
      <c r="M6187" s="11"/>
    </row>
    <row r="6188" spans="13:13" x14ac:dyDescent="0.35">
      <c r="M6188" s="11"/>
    </row>
    <row r="6189" spans="13:13" x14ac:dyDescent="0.35">
      <c r="M6189" s="11"/>
    </row>
    <row r="6190" spans="13:13" x14ac:dyDescent="0.35">
      <c r="M6190" s="11"/>
    </row>
    <row r="6191" spans="13:13" x14ac:dyDescent="0.35">
      <c r="M6191" s="11"/>
    </row>
    <row r="6192" spans="13:13" x14ac:dyDescent="0.35">
      <c r="M6192" s="11"/>
    </row>
    <row r="6193" spans="13:13" x14ac:dyDescent="0.35">
      <c r="M6193" s="11"/>
    </row>
    <row r="6194" spans="13:13" x14ac:dyDescent="0.35">
      <c r="M6194" s="11"/>
    </row>
    <row r="6195" spans="13:13" x14ac:dyDescent="0.35">
      <c r="M6195" s="11"/>
    </row>
    <row r="6196" spans="13:13" x14ac:dyDescent="0.35">
      <c r="M6196" s="11"/>
    </row>
    <row r="6197" spans="13:13" x14ac:dyDescent="0.35">
      <c r="M6197" s="11"/>
    </row>
    <row r="6198" spans="13:13" x14ac:dyDescent="0.35">
      <c r="M6198" s="11"/>
    </row>
    <row r="6199" spans="13:13" x14ac:dyDescent="0.35">
      <c r="M6199" s="11"/>
    </row>
    <row r="6200" spans="13:13" x14ac:dyDescent="0.35">
      <c r="M6200" s="11"/>
    </row>
    <row r="6201" spans="13:13" x14ac:dyDescent="0.35">
      <c r="M6201" s="11"/>
    </row>
    <row r="6202" spans="13:13" x14ac:dyDescent="0.35">
      <c r="M6202" s="11"/>
    </row>
    <row r="6203" spans="13:13" x14ac:dyDescent="0.35">
      <c r="M6203" s="11"/>
    </row>
    <row r="6204" spans="13:13" x14ac:dyDescent="0.35">
      <c r="M6204" s="11"/>
    </row>
    <row r="6205" spans="13:13" x14ac:dyDescent="0.35">
      <c r="M6205" s="11"/>
    </row>
    <row r="6206" spans="13:13" x14ac:dyDescent="0.35">
      <c r="M6206" s="11"/>
    </row>
    <row r="6207" spans="13:13" x14ac:dyDescent="0.35">
      <c r="M6207" s="11"/>
    </row>
    <row r="6208" spans="13:13" x14ac:dyDescent="0.35">
      <c r="M6208" s="11"/>
    </row>
    <row r="6209" spans="13:13" x14ac:dyDescent="0.35">
      <c r="M6209" s="11"/>
    </row>
    <row r="6210" spans="13:13" x14ac:dyDescent="0.35">
      <c r="M6210" s="11"/>
    </row>
    <row r="6211" spans="13:13" x14ac:dyDescent="0.35">
      <c r="M6211" s="11"/>
    </row>
    <row r="6212" spans="13:13" x14ac:dyDescent="0.35">
      <c r="M6212" s="11"/>
    </row>
    <row r="6213" spans="13:13" x14ac:dyDescent="0.35">
      <c r="M6213" s="11"/>
    </row>
    <row r="6214" spans="13:13" x14ac:dyDescent="0.35">
      <c r="M6214" s="11"/>
    </row>
    <row r="6215" spans="13:13" x14ac:dyDescent="0.35">
      <c r="M6215" s="11"/>
    </row>
    <row r="6216" spans="13:13" x14ac:dyDescent="0.35">
      <c r="M6216" s="11"/>
    </row>
    <row r="6217" spans="13:13" x14ac:dyDescent="0.35">
      <c r="M6217" s="11"/>
    </row>
    <row r="6218" spans="13:13" x14ac:dyDescent="0.35">
      <c r="M6218" s="11"/>
    </row>
    <row r="6219" spans="13:13" x14ac:dyDescent="0.35">
      <c r="M6219" s="11"/>
    </row>
    <row r="6220" spans="13:13" x14ac:dyDescent="0.35">
      <c r="M6220" s="11"/>
    </row>
    <row r="6221" spans="13:13" x14ac:dyDescent="0.35">
      <c r="M6221" s="11"/>
    </row>
    <row r="6222" spans="13:13" x14ac:dyDescent="0.35">
      <c r="M6222" s="11"/>
    </row>
    <row r="6223" spans="13:13" x14ac:dyDescent="0.35">
      <c r="M6223" s="11"/>
    </row>
    <row r="6224" spans="13:13" x14ac:dyDescent="0.35">
      <c r="M6224" s="11"/>
    </row>
    <row r="6225" spans="13:13" x14ac:dyDescent="0.35">
      <c r="M6225" s="11"/>
    </row>
    <row r="6226" spans="13:13" x14ac:dyDescent="0.35">
      <c r="M6226" s="11"/>
    </row>
    <row r="6227" spans="13:13" x14ac:dyDescent="0.35">
      <c r="M6227" s="11"/>
    </row>
    <row r="6228" spans="13:13" x14ac:dyDescent="0.35">
      <c r="M6228" s="11"/>
    </row>
    <row r="6229" spans="13:13" x14ac:dyDescent="0.35">
      <c r="M6229" s="11"/>
    </row>
    <row r="6230" spans="13:13" x14ac:dyDescent="0.35">
      <c r="M6230" s="11"/>
    </row>
    <row r="6231" spans="13:13" x14ac:dyDescent="0.35">
      <c r="M6231" s="11"/>
    </row>
    <row r="6232" spans="13:13" x14ac:dyDescent="0.35">
      <c r="M6232" s="11"/>
    </row>
    <row r="6233" spans="13:13" x14ac:dyDescent="0.35">
      <c r="M6233" s="11"/>
    </row>
    <row r="6234" spans="13:13" x14ac:dyDescent="0.35">
      <c r="M6234" s="11"/>
    </row>
    <row r="6235" spans="13:13" x14ac:dyDescent="0.35">
      <c r="M6235" s="11"/>
    </row>
    <row r="6236" spans="13:13" x14ac:dyDescent="0.35">
      <c r="M6236" s="11"/>
    </row>
    <row r="6237" spans="13:13" x14ac:dyDescent="0.35">
      <c r="M6237" s="11"/>
    </row>
    <row r="6238" spans="13:13" x14ac:dyDescent="0.35">
      <c r="M6238" s="11"/>
    </row>
    <row r="6239" spans="13:13" x14ac:dyDescent="0.35">
      <c r="M6239" s="11"/>
    </row>
    <row r="6240" spans="13:13" x14ac:dyDescent="0.35">
      <c r="M6240" s="11"/>
    </row>
    <row r="6241" spans="13:13" x14ac:dyDescent="0.35">
      <c r="M6241" s="11"/>
    </row>
    <row r="6242" spans="13:13" x14ac:dyDescent="0.35">
      <c r="M6242" s="11"/>
    </row>
    <row r="6243" spans="13:13" x14ac:dyDescent="0.35">
      <c r="M6243" s="11"/>
    </row>
    <row r="6244" spans="13:13" x14ac:dyDescent="0.35">
      <c r="M6244" s="11"/>
    </row>
    <row r="6245" spans="13:13" x14ac:dyDescent="0.35">
      <c r="M6245" s="11"/>
    </row>
    <row r="6246" spans="13:13" x14ac:dyDescent="0.35">
      <c r="M6246" s="11"/>
    </row>
    <row r="6247" spans="13:13" x14ac:dyDescent="0.35">
      <c r="M6247" s="11"/>
    </row>
    <row r="6248" spans="13:13" x14ac:dyDescent="0.35">
      <c r="M6248" s="11"/>
    </row>
    <row r="6249" spans="13:13" x14ac:dyDescent="0.35">
      <c r="M6249" s="11"/>
    </row>
    <row r="6250" spans="13:13" x14ac:dyDescent="0.35">
      <c r="M6250" s="11"/>
    </row>
    <row r="6251" spans="13:13" x14ac:dyDescent="0.35">
      <c r="M6251" s="11"/>
    </row>
    <row r="6252" spans="13:13" x14ac:dyDescent="0.35">
      <c r="M6252" s="11"/>
    </row>
    <row r="6253" spans="13:13" x14ac:dyDescent="0.35">
      <c r="M6253" s="11"/>
    </row>
    <row r="6254" spans="13:13" x14ac:dyDescent="0.35">
      <c r="M6254" s="11"/>
    </row>
    <row r="6255" spans="13:13" x14ac:dyDescent="0.35">
      <c r="M6255" s="11"/>
    </row>
    <row r="6256" spans="13:13" x14ac:dyDescent="0.35">
      <c r="M6256" s="11"/>
    </row>
    <row r="6257" spans="13:13" x14ac:dyDescent="0.35">
      <c r="M6257" s="11"/>
    </row>
    <row r="6258" spans="13:13" x14ac:dyDescent="0.35">
      <c r="M6258" s="11"/>
    </row>
    <row r="6259" spans="13:13" x14ac:dyDescent="0.35">
      <c r="M6259" s="11"/>
    </row>
    <row r="6260" spans="13:13" x14ac:dyDescent="0.35">
      <c r="M6260" s="11"/>
    </row>
    <row r="6261" spans="13:13" x14ac:dyDescent="0.35">
      <c r="M6261" s="11"/>
    </row>
    <row r="6262" spans="13:13" x14ac:dyDescent="0.35">
      <c r="M6262" s="11"/>
    </row>
    <row r="6263" spans="13:13" x14ac:dyDescent="0.35">
      <c r="M6263" s="11"/>
    </row>
    <row r="6264" spans="13:13" x14ac:dyDescent="0.35">
      <c r="M6264" s="11"/>
    </row>
    <row r="6265" spans="13:13" x14ac:dyDescent="0.35">
      <c r="M6265" s="11"/>
    </row>
    <row r="6266" spans="13:13" x14ac:dyDescent="0.35">
      <c r="M6266" s="11"/>
    </row>
    <row r="6267" spans="13:13" x14ac:dyDescent="0.35">
      <c r="M6267" s="11"/>
    </row>
    <row r="6268" spans="13:13" x14ac:dyDescent="0.35">
      <c r="M6268" s="11"/>
    </row>
    <row r="6269" spans="13:13" x14ac:dyDescent="0.35">
      <c r="M6269" s="11"/>
    </row>
    <row r="6270" spans="13:13" x14ac:dyDescent="0.35">
      <c r="M6270" s="11"/>
    </row>
    <row r="6271" spans="13:13" x14ac:dyDescent="0.35">
      <c r="M6271" s="11"/>
    </row>
    <row r="6272" spans="13:13" x14ac:dyDescent="0.35">
      <c r="M6272" s="11"/>
    </row>
    <row r="6273" spans="13:13" x14ac:dyDescent="0.35">
      <c r="M6273" s="11"/>
    </row>
    <row r="6274" spans="13:13" x14ac:dyDescent="0.35">
      <c r="M6274" s="11"/>
    </row>
    <row r="6275" spans="13:13" x14ac:dyDescent="0.35">
      <c r="M6275" s="11"/>
    </row>
    <row r="6276" spans="13:13" x14ac:dyDescent="0.35">
      <c r="M6276" s="11"/>
    </row>
    <row r="6277" spans="13:13" x14ac:dyDescent="0.35">
      <c r="M6277" s="11"/>
    </row>
    <row r="6278" spans="13:13" x14ac:dyDescent="0.35">
      <c r="M6278" s="11"/>
    </row>
    <row r="6279" spans="13:13" x14ac:dyDescent="0.35">
      <c r="M6279" s="11"/>
    </row>
    <row r="6280" spans="13:13" x14ac:dyDescent="0.35">
      <c r="M6280" s="11"/>
    </row>
    <row r="6281" spans="13:13" x14ac:dyDescent="0.35">
      <c r="M6281" s="11"/>
    </row>
    <row r="6282" spans="13:13" x14ac:dyDescent="0.35">
      <c r="M6282" s="11"/>
    </row>
    <row r="6283" spans="13:13" x14ac:dyDescent="0.35">
      <c r="M6283" s="11"/>
    </row>
    <row r="6284" spans="13:13" x14ac:dyDescent="0.35">
      <c r="M6284" s="11"/>
    </row>
    <row r="6285" spans="13:13" x14ac:dyDescent="0.35">
      <c r="M6285" s="11"/>
    </row>
    <row r="6286" spans="13:13" x14ac:dyDescent="0.35">
      <c r="M6286" s="11"/>
    </row>
    <row r="6287" spans="13:13" x14ac:dyDescent="0.35">
      <c r="M6287" s="11"/>
    </row>
    <row r="6288" spans="13:13" x14ac:dyDescent="0.35">
      <c r="M6288" s="11"/>
    </row>
    <row r="6289" spans="13:13" x14ac:dyDescent="0.35">
      <c r="M6289" s="11"/>
    </row>
    <row r="6290" spans="13:13" x14ac:dyDescent="0.35">
      <c r="M6290" s="11"/>
    </row>
    <row r="6291" spans="13:13" x14ac:dyDescent="0.35">
      <c r="M6291" s="11"/>
    </row>
    <row r="6292" spans="13:13" x14ac:dyDescent="0.35">
      <c r="M6292" s="11"/>
    </row>
    <row r="6293" spans="13:13" x14ac:dyDescent="0.35">
      <c r="M6293" s="11"/>
    </row>
    <row r="6294" spans="13:13" x14ac:dyDescent="0.35">
      <c r="M6294" s="11"/>
    </row>
    <row r="6295" spans="13:13" x14ac:dyDescent="0.35">
      <c r="M6295" s="11"/>
    </row>
    <row r="6296" spans="13:13" x14ac:dyDescent="0.35">
      <c r="M6296" s="11"/>
    </row>
    <row r="6297" spans="13:13" x14ac:dyDescent="0.35">
      <c r="M6297" s="11"/>
    </row>
    <row r="6298" spans="13:13" x14ac:dyDescent="0.35">
      <c r="M6298" s="11"/>
    </row>
    <row r="6299" spans="13:13" x14ac:dyDescent="0.35">
      <c r="M6299" s="11"/>
    </row>
    <row r="6300" spans="13:13" x14ac:dyDescent="0.35">
      <c r="M6300" s="11"/>
    </row>
    <row r="6301" spans="13:13" x14ac:dyDescent="0.35">
      <c r="M6301" s="11"/>
    </row>
    <row r="6302" spans="13:13" x14ac:dyDescent="0.35">
      <c r="M6302" s="11"/>
    </row>
    <row r="6303" spans="13:13" x14ac:dyDescent="0.35">
      <c r="M6303" s="11"/>
    </row>
    <row r="6304" spans="13:13" x14ac:dyDescent="0.35">
      <c r="M6304" s="11"/>
    </row>
    <row r="6305" spans="13:13" x14ac:dyDescent="0.35">
      <c r="M6305" s="11"/>
    </row>
    <row r="6306" spans="13:13" x14ac:dyDescent="0.35">
      <c r="M6306" s="11"/>
    </row>
    <row r="6307" spans="13:13" x14ac:dyDescent="0.35">
      <c r="M6307" s="11"/>
    </row>
    <row r="6308" spans="13:13" x14ac:dyDescent="0.35">
      <c r="M6308" s="11"/>
    </row>
    <row r="6309" spans="13:13" x14ac:dyDescent="0.35">
      <c r="M6309" s="11"/>
    </row>
    <row r="6310" spans="13:13" x14ac:dyDescent="0.35">
      <c r="M6310" s="11"/>
    </row>
    <row r="6311" spans="13:13" x14ac:dyDescent="0.35">
      <c r="M6311" s="11"/>
    </row>
    <row r="6312" spans="13:13" x14ac:dyDescent="0.35">
      <c r="M6312" s="11"/>
    </row>
    <row r="6313" spans="13:13" x14ac:dyDescent="0.35">
      <c r="M6313" s="11"/>
    </row>
    <row r="6314" spans="13:13" x14ac:dyDescent="0.35">
      <c r="M6314" s="11"/>
    </row>
    <row r="6315" spans="13:13" x14ac:dyDescent="0.35">
      <c r="M6315" s="11"/>
    </row>
    <row r="6316" spans="13:13" x14ac:dyDescent="0.35">
      <c r="M6316" s="11"/>
    </row>
    <row r="6317" spans="13:13" x14ac:dyDescent="0.35">
      <c r="M6317" s="11"/>
    </row>
    <row r="6318" spans="13:13" x14ac:dyDescent="0.35">
      <c r="M6318" s="11"/>
    </row>
    <row r="6319" spans="13:13" x14ac:dyDescent="0.35">
      <c r="M6319" s="11"/>
    </row>
    <row r="6320" spans="13:13" x14ac:dyDescent="0.35">
      <c r="M6320" s="11"/>
    </row>
    <row r="6321" spans="13:13" x14ac:dyDescent="0.35">
      <c r="M6321" s="11"/>
    </row>
    <row r="6322" spans="13:13" x14ac:dyDescent="0.35">
      <c r="M6322" s="11"/>
    </row>
    <row r="6323" spans="13:13" x14ac:dyDescent="0.35">
      <c r="M6323" s="11"/>
    </row>
    <row r="6324" spans="13:13" x14ac:dyDescent="0.35">
      <c r="M6324" s="11"/>
    </row>
    <row r="6325" spans="13:13" x14ac:dyDescent="0.35">
      <c r="M6325" s="11"/>
    </row>
    <row r="6326" spans="13:13" x14ac:dyDescent="0.35">
      <c r="M6326" s="11"/>
    </row>
    <row r="6327" spans="13:13" x14ac:dyDescent="0.35">
      <c r="M6327" s="11"/>
    </row>
    <row r="6328" spans="13:13" x14ac:dyDescent="0.35">
      <c r="M6328" s="11"/>
    </row>
    <row r="6329" spans="13:13" x14ac:dyDescent="0.35">
      <c r="M6329" s="11"/>
    </row>
    <row r="6330" spans="13:13" x14ac:dyDescent="0.35">
      <c r="M6330" s="11"/>
    </row>
    <row r="6331" spans="13:13" x14ac:dyDescent="0.35">
      <c r="M6331" s="11"/>
    </row>
    <row r="6332" spans="13:13" x14ac:dyDescent="0.35">
      <c r="M6332" s="11"/>
    </row>
    <row r="6333" spans="13:13" x14ac:dyDescent="0.35">
      <c r="M6333" s="11"/>
    </row>
    <row r="6334" spans="13:13" x14ac:dyDescent="0.35">
      <c r="M6334" s="11"/>
    </row>
    <row r="6335" spans="13:13" x14ac:dyDescent="0.35">
      <c r="M6335" s="11"/>
    </row>
    <row r="6336" spans="13:13" x14ac:dyDescent="0.35">
      <c r="M6336" s="11"/>
    </row>
    <row r="6337" spans="13:13" x14ac:dyDescent="0.35">
      <c r="M6337" s="11"/>
    </row>
    <row r="6338" spans="13:13" x14ac:dyDescent="0.35">
      <c r="M6338" s="11"/>
    </row>
    <row r="6339" spans="13:13" x14ac:dyDescent="0.35">
      <c r="M6339" s="11"/>
    </row>
    <row r="6340" spans="13:13" x14ac:dyDescent="0.35">
      <c r="M6340" s="11"/>
    </row>
    <row r="6341" spans="13:13" x14ac:dyDescent="0.35">
      <c r="M6341" s="11"/>
    </row>
    <row r="6342" spans="13:13" x14ac:dyDescent="0.35">
      <c r="M6342" s="11"/>
    </row>
    <row r="6343" spans="13:13" x14ac:dyDescent="0.35">
      <c r="M6343" s="11"/>
    </row>
    <row r="6344" spans="13:13" x14ac:dyDescent="0.35">
      <c r="M6344" s="11"/>
    </row>
    <row r="6345" spans="13:13" x14ac:dyDescent="0.35">
      <c r="M6345" s="11"/>
    </row>
    <row r="6346" spans="13:13" x14ac:dyDescent="0.35">
      <c r="M6346" s="11"/>
    </row>
    <row r="6347" spans="13:13" x14ac:dyDescent="0.35">
      <c r="M6347" s="11"/>
    </row>
    <row r="6348" spans="13:13" x14ac:dyDescent="0.35">
      <c r="M6348" s="11"/>
    </row>
    <row r="6349" spans="13:13" x14ac:dyDescent="0.35">
      <c r="M6349" s="11"/>
    </row>
    <row r="6350" spans="13:13" x14ac:dyDescent="0.35">
      <c r="M6350" s="11"/>
    </row>
    <row r="6351" spans="13:13" x14ac:dyDescent="0.35">
      <c r="M6351" s="11"/>
    </row>
    <row r="6352" spans="13:13" x14ac:dyDescent="0.35">
      <c r="M6352" s="11"/>
    </row>
    <row r="6353" spans="13:13" x14ac:dyDescent="0.35">
      <c r="M6353" s="11"/>
    </row>
    <row r="6354" spans="13:13" x14ac:dyDescent="0.35">
      <c r="M6354" s="11"/>
    </row>
    <row r="6355" spans="13:13" x14ac:dyDescent="0.35">
      <c r="M6355" s="11"/>
    </row>
    <row r="6356" spans="13:13" x14ac:dyDescent="0.35">
      <c r="M6356" s="11"/>
    </row>
    <row r="6357" spans="13:13" x14ac:dyDescent="0.35">
      <c r="M6357" s="11"/>
    </row>
    <row r="6358" spans="13:13" x14ac:dyDescent="0.35">
      <c r="M6358" s="11"/>
    </row>
    <row r="6359" spans="13:13" x14ac:dyDescent="0.35">
      <c r="M6359" s="11"/>
    </row>
    <row r="6360" spans="13:13" x14ac:dyDescent="0.35">
      <c r="M6360" s="11"/>
    </row>
    <row r="6361" spans="13:13" x14ac:dyDescent="0.35">
      <c r="M6361" s="11"/>
    </row>
    <row r="6362" spans="13:13" x14ac:dyDescent="0.35">
      <c r="M6362" s="11"/>
    </row>
    <row r="6363" spans="13:13" x14ac:dyDescent="0.35">
      <c r="M6363" s="11"/>
    </row>
    <row r="6364" spans="13:13" x14ac:dyDescent="0.35">
      <c r="M6364" s="11"/>
    </row>
    <row r="6365" spans="13:13" x14ac:dyDescent="0.35">
      <c r="M6365" s="11"/>
    </row>
    <row r="6366" spans="13:13" x14ac:dyDescent="0.35">
      <c r="M6366" s="11"/>
    </row>
    <row r="6367" spans="13:13" x14ac:dyDescent="0.35">
      <c r="M6367" s="11"/>
    </row>
    <row r="6368" spans="13:13" x14ac:dyDescent="0.35">
      <c r="M6368" s="11"/>
    </row>
    <row r="6369" spans="13:13" x14ac:dyDescent="0.35">
      <c r="M6369" s="11"/>
    </row>
    <row r="6370" spans="13:13" x14ac:dyDescent="0.35">
      <c r="M6370" s="11"/>
    </row>
    <row r="6371" spans="13:13" x14ac:dyDescent="0.35">
      <c r="M6371" s="11"/>
    </row>
    <row r="6372" spans="13:13" x14ac:dyDescent="0.35">
      <c r="M6372" s="11"/>
    </row>
    <row r="6373" spans="13:13" x14ac:dyDescent="0.35">
      <c r="M6373" s="11"/>
    </row>
    <row r="6374" spans="13:13" x14ac:dyDescent="0.35">
      <c r="M6374" s="11"/>
    </row>
    <row r="6375" spans="13:13" x14ac:dyDescent="0.35">
      <c r="M6375" s="11"/>
    </row>
    <row r="6376" spans="13:13" x14ac:dyDescent="0.35">
      <c r="M6376" s="11"/>
    </row>
    <row r="6377" spans="13:13" x14ac:dyDescent="0.35">
      <c r="M6377" s="11"/>
    </row>
    <row r="6378" spans="13:13" x14ac:dyDescent="0.35">
      <c r="M6378" s="11"/>
    </row>
    <row r="6379" spans="13:13" x14ac:dyDescent="0.35">
      <c r="M6379" s="11"/>
    </row>
    <row r="6380" spans="13:13" x14ac:dyDescent="0.35">
      <c r="M6380" s="11"/>
    </row>
    <row r="6381" spans="13:13" x14ac:dyDescent="0.35">
      <c r="M6381" s="11"/>
    </row>
    <row r="6382" spans="13:13" x14ac:dyDescent="0.35">
      <c r="M6382" s="11"/>
    </row>
    <row r="6383" spans="13:13" x14ac:dyDescent="0.35">
      <c r="M6383" s="11"/>
    </row>
    <row r="6384" spans="13:13" x14ac:dyDescent="0.35">
      <c r="M6384" s="11"/>
    </row>
    <row r="6385" spans="13:13" x14ac:dyDescent="0.35">
      <c r="M6385" s="11"/>
    </row>
    <row r="6386" spans="13:13" x14ac:dyDescent="0.35">
      <c r="M6386" s="11"/>
    </row>
    <row r="6387" spans="13:13" x14ac:dyDescent="0.35">
      <c r="M6387" s="11"/>
    </row>
    <row r="6388" spans="13:13" x14ac:dyDescent="0.35">
      <c r="M6388" s="11"/>
    </row>
    <row r="6389" spans="13:13" x14ac:dyDescent="0.35">
      <c r="M6389" s="11"/>
    </row>
    <row r="6390" spans="13:13" x14ac:dyDescent="0.35">
      <c r="M6390" s="11"/>
    </row>
    <row r="6391" spans="13:13" x14ac:dyDescent="0.35">
      <c r="M6391" s="11"/>
    </row>
    <row r="6392" spans="13:13" x14ac:dyDescent="0.35">
      <c r="M6392" s="11"/>
    </row>
    <row r="6393" spans="13:13" x14ac:dyDescent="0.35">
      <c r="M6393" s="11"/>
    </row>
    <row r="6394" spans="13:13" x14ac:dyDescent="0.35">
      <c r="M6394" s="11"/>
    </row>
    <row r="6395" spans="13:13" x14ac:dyDescent="0.35">
      <c r="M6395" s="11"/>
    </row>
    <row r="6396" spans="13:13" x14ac:dyDescent="0.35">
      <c r="M6396" s="11"/>
    </row>
    <row r="6397" spans="13:13" x14ac:dyDescent="0.35">
      <c r="M6397" s="11"/>
    </row>
    <row r="6398" spans="13:13" x14ac:dyDescent="0.35">
      <c r="M6398" s="11"/>
    </row>
    <row r="6399" spans="13:13" x14ac:dyDescent="0.35">
      <c r="M6399" s="11"/>
    </row>
    <row r="6400" spans="13:13" x14ac:dyDescent="0.35">
      <c r="M6400" s="11"/>
    </row>
    <row r="6401" spans="13:13" x14ac:dyDescent="0.35">
      <c r="M6401" s="11"/>
    </row>
    <row r="6402" spans="13:13" x14ac:dyDescent="0.35">
      <c r="M6402" s="11"/>
    </row>
    <row r="6403" spans="13:13" x14ac:dyDescent="0.35">
      <c r="M6403" s="11"/>
    </row>
    <row r="6404" spans="13:13" x14ac:dyDescent="0.35">
      <c r="M6404" s="11"/>
    </row>
    <row r="6405" spans="13:13" x14ac:dyDescent="0.35">
      <c r="M6405" s="11"/>
    </row>
    <row r="6406" spans="13:13" x14ac:dyDescent="0.35">
      <c r="M6406" s="11"/>
    </row>
    <row r="6407" spans="13:13" x14ac:dyDescent="0.35">
      <c r="M6407" s="11"/>
    </row>
    <row r="6408" spans="13:13" x14ac:dyDescent="0.35">
      <c r="M6408" s="11"/>
    </row>
    <row r="6409" spans="13:13" x14ac:dyDescent="0.35">
      <c r="M6409" s="11"/>
    </row>
    <row r="6410" spans="13:13" x14ac:dyDescent="0.35">
      <c r="M6410" s="11"/>
    </row>
    <row r="6411" spans="13:13" x14ac:dyDescent="0.35">
      <c r="M6411" s="11"/>
    </row>
    <row r="6412" spans="13:13" x14ac:dyDescent="0.35">
      <c r="M6412" s="11"/>
    </row>
    <row r="6413" spans="13:13" x14ac:dyDescent="0.35">
      <c r="M6413" s="11"/>
    </row>
    <row r="6414" spans="13:13" x14ac:dyDescent="0.35">
      <c r="M6414" s="11"/>
    </row>
    <row r="6415" spans="13:13" x14ac:dyDescent="0.35">
      <c r="M6415" s="11"/>
    </row>
    <row r="6416" spans="13:13" x14ac:dyDescent="0.35">
      <c r="M6416" s="11"/>
    </row>
    <row r="6417" spans="13:13" x14ac:dyDescent="0.35">
      <c r="M6417" s="11"/>
    </row>
    <row r="6418" spans="13:13" x14ac:dyDescent="0.35">
      <c r="M6418" s="11"/>
    </row>
    <row r="6419" spans="13:13" x14ac:dyDescent="0.35">
      <c r="M6419" s="11"/>
    </row>
    <row r="6420" spans="13:13" x14ac:dyDescent="0.35">
      <c r="M6420" s="11"/>
    </row>
    <row r="6421" spans="13:13" x14ac:dyDescent="0.35">
      <c r="M6421" s="11"/>
    </row>
    <row r="6422" spans="13:13" x14ac:dyDescent="0.35">
      <c r="M6422" s="11"/>
    </row>
    <row r="6423" spans="13:13" x14ac:dyDescent="0.35">
      <c r="M6423" s="11"/>
    </row>
    <row r="6424" spans="13:13" x14ac:dyDescent="0.35">
      <c r="M6424" s="11"/>
    </row>
    <row r="6425" spans="13:13" x14ac:dyDescent="0.35">
      <c r="M6425" s="11"/>
    </row>
    <row r="6426" spans="13:13" x14ac:dyDescent="0.35">
      <c r="M6426" s="11"/>
    </row>
    <row r="6427" spans="13:13" x14ac:dyDescent="0.35">
      <c r="M6427" s="11"/>
    </row>
    <row r="6428" spans="13:13" x14ac:dyDescent="0.35">
      <c r="M6428" s="11"/>
    </row>
    <row r="6429" spans="13:13" x14ac:dyDescent="0.35">
      <c r="M6429" s="11"/>
    </row>
    <row r="6430" spans="13:13" x14ac:dyDescent="0.35">
      <c r="M6430" s="11"/>
    </row>
    <row r="6431" spans="13:13" x14ac:dyDescent="0.35">
      <c r="M6431" s="11"/>
    </row>
    <row r="6432" spans="13:13" x14ac:dyDescent="0.35">
      <c r="M6432" s="11"/>
    </row>
    <row r="6433" spans="13:13" x14ac:dyDescent="0.35">
      <c r="M6433" s="11"/>
    </row>
    <row r="6434" spans="13:13" x14ac:dyDescent="0.35">
      <c r="M6434" s="11"/>
    </row>
    <row r="6435" spans="13:13" x14ac:dyDescent="0.35">
      <c r="M6435" s="11"/>
    </row>
    <row r="6436" spans="13:13" x14ac:dyDescent="0.35">
      <c r="M6436" s="11"/>
    </row>
    <row r="6437" spans="13:13" x14ac:dyDescent="0.35">
      <c r="M6437" s="11"/>
    </row>
    <row r="6438" spans="13:13" x14ac:dyDescent="0.35">
      <c r="M6438" s="11"/>
    </row>
    <row r="6439" spans="13:13" x14ac:dyDescent="0.35">
      <c r="M6439" s="11"/>
    </row>
    <row r="6440" spans="13:13" x14ac:dyDescent="0.35">
      <c r="M6440" s="11"/>
    </row>
    <row r="6441" spans="13:13" x14ac:dyDescent="0.35">
      <c r="M6441" s="11"/>
    </row>
    <row r="6442" spans="13:13" x14ac:dyDescent="0.35">
      <c r="M6442" s="11"/>
    </row>
    <row r="6443" spans="13:13" x14ac:dyDescent="0.35">
      <c r="M6443" s="11"/>
    </row>
    <row r="6444" spans="13:13" x14ac:dyDescent="0.35">
      <c r="M6444" s="11"/>
    </row>
    <row r="6445" spans="13:13" x14ac:dyDescent="0.35">
      <c r="M6445" s="11"/>
    </row>
    <row r="6446" spans="13:13" x14ac:dyDescent="0.35">
      <c r="M6446" s="11"/>
    </row>
    <row r="6447" spans="13:13" x14ac:dyDescent="0.35">
      <c r="M6447" s="11"/>
    </row>
    <row r="6448" spans="13:13" x14ac:dyDescent="0.35">
      <c r="M6448" s="11"/>
    </row>
    <row r="6449" spans="13:13" x14ac:dyDescent="0.35">
      <c r="M6449" s="11"/>
    </row>
    <row r="6450" spans="13:13" x14ac:dyDescent="0.35">
      <c r="M6450" s="11"/>
    </row>
    <row r="6451" spans="13:13" x14ac:dyDescent="0.35">
      <c r="M6451" s="11"/>
    </row>
    <row r="6452" spans="13:13" x14ac:dyDescent="0.35">
      <c r="M6452" s="11"/>
    </row>
    <row r="6453" spans="13:13" x14ac:dyDescent="0.35">
      <c r="M6453" s="11"/>
    </row>
    <row r="6454" spans="13:13" x14ac:dyDescent="0.35">
      <c r="M6454" s="11"/>
    </row>
    <row r="6455" spans="13:13" x14ac:dyDescent="0.35">
      <c r="M6455" s="11"/>
    </row>
    <row r="6456" spans="13:13" x14ac:dyDescent="0.35">
      <c r="M6456" s="11"/>
    </row>
    <row r="6457" spans="13:13" x14ac:dyDescent="0.35">
      <c r="M6457" s="11"/>
    </row>
    <row r="6458" spans="13:13" x14ac:dyDescent="0.35">
      <c r="M6458" s="11"/>
    </row>
    <row r="6459" spans="13:13" x14ac:dyDescent="0.35">
      <c r="M6459" s="11"/>
    </row>
    <row r="6460" spans="13:13" x14ac:dyDescent="0.35">
      <c r="M6460" s="11"/>
    </row>
    <row r="6461" spans="13:13" x14ac:dyDescent="0.35">
      <c r="M6461" s="11"/>
    </row>
    <row r="6462" spans="13:13" x14ac:dyDescent="0.35">
      <c r="M6462" s="11"/>
    </row>
    <row r="6463" spans="13:13" x14ac:dyDescent="0.35">
      <c r="M6463" s="11"/>
    </row>
    <row r="6464" spans="13:13" x14ac:dyDescent="0.35">
      <c r="M6464" s="11"/>
    </row>
    <row r="6465" spans="13:13" x14ac:dyDescent="0.35">
      <c r="M6465" s="11"/>
    </row>
    <row r="6466" spans="13:13" x14ac:dyDescent="0.35">
      <c r="M6466" s="11"/>
    </row>
    <row r="6467" spans="13:13" x14ac:dyDescent="0.35">
      <c r="M6467" s="11"/>
    </row>
    <row r="6468" spans="13:13" x14ac:dyDescent="0.35">
      <c r="M6468" s="11"/>
    </row>
    <row r="6469" spans="13:13" x14ac:dyDescent="0.35">
      <c r="M6469" s="11"/>
    </row>
    <row r="6470" spans="13:13" x14ac:dyDescent="0.35">
      <c r="M6470" s="11"/>
    </row>
    <row r="6471" spans="13:13" x14ac:dyDescent="0.35">
      <c r="M6471" s="11"/>
    </row>
    <row r="6472" spans="13:13" x14ac:dyDescent="0.35">
      <c r="M6472" s="11"/>
    </row>
    <row r="6473" spans="13:13" x14ac:dyDescent="0.35">
      <c r="M6473" s="11"/>
    </row>
    <row r="6474" spans="13:13" x14ac:dyDescent="0.35">
      <c r="M6474" s="11"/>
    </row>
    <row r="6475" spans="13:13" x14ac:dyDescent="0.35">
      <c r="M6475" s="11"/>
    </row>
    <row r="6476" spans="13:13" x14ac:dyDescent="0.35">
      <c r="M6476" s="11"/>
    </row>
    <row r="6477" spans="13:13" x14ac:dyDescent="0.35">
      <c r="M6477" s="11"/>
    </row>
    <row r="6478" spans="13:13" x14ac:dyDescent="0.35">
      <c r="M6478" s="11"/>
    </row>
    <row r="6479" spans="13:13" x14ac:dyDescent="0.35">
      <c r="M6479" s="11"/>
    </row>
    <row r="6480" spans="13:13" x14ac:dyDescent="0.35">
      <c r="M6480" s="11"/>
    </row>
    <row r="6481" spans="13:13" x14ac:dyDescent="0.35">
      <c r="M6481" s="11"/>
    </row>
    <row r="6482" spans="13:13" x14ac:dyDescent="0.35">
      <c r="M6482" s="11"/>
    </row>
    <row r="6483" spans="13:13" x14ac:dyDescent="0.35">
      <c r="M6483" s="11"/>
    </row>
    <row r="6484" spans="13:13" x14ac:dyDescent="0.35">
      <c r="M6484" s="11"/>
    </row>
    <row r="6485" spans="13:13" x14ac:dyDescent="0.35">
      <c r="M6485" s="11"/>
    </row>
    <row r="6486" spans="13:13" x14ac:dyDescent="0.35">
      <c r="M6486" s="11"/>
    </row>
    <row r="6487" spans="13:13" x14ac:dyDescent="0.35">
      <c r="M6487" s="11"/>
    </row>
    <row r="6488" spans="13:13" x14ac:dyDescent="0.35">
      <c r="M6488" s="11"/>
    </row>
    <row r="6489" spans="13:13" x14ac:dyDescent="0.35">
      <c r="M6489" s="11"/>
    </row>
    <row r="6490" spans="13:13" x14ac:dyDescent="0.35">
      <c r="M6490" s="11"/>
    </row>
    <row r="6491" spans="13:13" x14ac:dyDescent="0.35">
      <c r="M6491" s="11"/>
    </row>
    <row r="6492" spans="13:13" x14ac:dyDescent="0.35">
      <c r="M6492" s="11"/>
    </row>
    <row r="6493" spans="13:13" x14ac:dyDescent="0.35">
      <c r="M6493" s="11"/>
    </row>
    <row r="6494" spans="13:13" x14ac:dyDescent="0.35">
      <c r="M6494" s="11"/>
    </row>
    <row r="6495" spans="13:13" x14ac:dyDescent="0.35">
      <c r="M6495" s="11"/>
    </row>
    <row r="6496" spans="13:13" x14ac:dyDescent="0.35">
      <c r="M6496" s="11"/>
    </row>
    <row r="6497" spans="13:13" x14ac:dyDescent="0.35">
      <c r="M6497" s="11"/>
    </row>
    <row r="6498" spans="13:13" x14ac:dyDescent="0.35">
      <c r="M6498" s="11"/>
    </row>
    <row r="6499" spans="13:13" x14ac:dyDescent="0.35">
      <c r="M6499" s="11"/>
    </row>
    <row r="6500" spans="13:13" x14ac:dyDescent="0.35">
      <c r="M6500" s="11"/>
    </row>
    <row r="6501" spans="13:13" x14ac:dyDescent="0.35">
      <c r="M6501" s="11"/>
    </row>
    <row r="6502" spans="13:13" x14ac:dyDescent="0.35">
      <c r="M6502" s="11"/>
    </row>
    <row r="6503" spans="13:13" x14ac:dyDescent="0.35">
      <c r="M6503" s="11"/>
    </row>
    <row r="6504" spans="13:13" x14ac:dyDescent="0.35">
      <c r="M6504" s="11"/>
    </row>
    <row r="6505" spans="13:13" x14ac:dyDescent="0.35">
      <c r="M6505" s="11"/>
    </row>
    <row r="6506" spans="13:13" x14ac:dyDescent="0.35">
      <c r="M6506" s="11"/>
    </row>
    <row r="6507" spans="13:13" x14ac:dyDescent="0.35">
      <c r="M6507" s="11"/>
    </row>
    <row r="6508" spans="13:13" x14ac:dyDescent="0.35">
      <c r="M6508" s="11"/>
    </row>
    <row r="6509" spans="13:13" x14ac:dyDescent="0.35">
      <c r="M6509" s="11"/>
    </row>
    <row r="6510" spans="13:13" x14ac:dyDescent="0.35">
      <c r="M6510" s="11"/>
    </row>
    <row r="6511" spans="13:13" x14ac:dyDescent="0.35">
      <c r="M6511" s="11"/>
    </row>
    <row r="6512" spans="13:13" x14ac:dyDescent="0.35">
      <c r="M6512" s="11"/>
    </row>
    <row r="6513" spans="13:13" x14ac:dyDescent="0.35">
      <c r="M6513" s="11"/>
    </row>
    <row r="6514" spans="13:13" x14ac:dyDescent="0.35">
      <c r="M6514" s="11"/>
    </row>
    <row r="6515" spans="13:13" x14ac:dyDescent="0.35">
      <c r="M6515" s="11"/>
    </row>
    <row r="6516" spans="13:13" x14ac:dyDescent="0.35">
      <c r="M6516" s="11"/>
    </row>
    <row r="6517" spans="13:13" x14ac:dyDescent="0.35">
      <c r="M6517" s="11"/>
    </row>
    <row r="6518" spans="13:13" x14ac:dyDescent="0.35">
      <c r="M6518" s="11"/>
    </row>
    <row r="6519" spans="13:13" x14ac:dyDescent="0.35">
      <c r="M6519" s="11"/>
    </row>
    <row r="6520" spans="13:13" x14ac:dyDescent="0.35">
      <c r="M6520" s="11"/>
    </row>
    <row r="6521" spans="13:13" x14ac:dyDescent="0.35">
      <c r="M6521" s="11"/>
    </row>
    <row r="6522" spans="13:13" x14ac:dyDescent="0.35">
      <c r="M6522" s="11"/>
    </row>
    <row r="6523" spans="13:13" x14ac:dyDescent="0.35">
      <c r="M6523" s="11"/>
    </row>
    <row r="6524" spans="13:13" x14ac:dyDescent="0.35">
      <c r="M6524" s="11"/>
    </row>
    <row r="6525" spans="13:13" x14ac:dyDescent="0.35">
      <c r="M6525" s="11"/>
    </row>
    <row r="6526" spans="13:13" x14ac:dyDescent="0.35">
      <c r="M6526" s="11"/>
    </row>
    <row r="6527" spans="13:13" x14ac:dyDescent="0.35">
      <c r="M6527" s="11"/>
    </row>
    <row r="6528" spans="13:13" x14ac:dyDescent="0.35">
      <c r="M6528" s="11"/>
    </row>
    <row r="6529" spans="13:13" x14ac:dyDescent="0.35">
      <c r="M6529" s="11"/>
    </row>
    <row r="6530" spans="13:13" x14ac:dyDescent="0.35">
      <c r="M6530" s="11"/>
    </row>
    <row r="6531" spans="13:13" x14ac:dyDescent="0.35">
      <c r="M6531" s="11"/>
    </row>
    <row r="6532" spans="13:13" x14ac:dyDescent="0.35">
      <c r="M6532" s="11"/>
    </row>
    <row r="6533" spans="13:13" x14ac:dyDescent="0.35">
      <c r="M6533" s="11"/>
    </row>
    <row r="6534" spans="13:13" x14ac:dyDescent="0.35">
      <c r="M6534" s="11"/>
    </row>
    <row r="6535" spans="13:13" x14ac:dyDescent="0.35">
      <c r="M6535" s="11"/>
    </row>
    <row r="6536" spans="13:13" x14ac:dyDescent="0.35">
      <c r="M6536" s="11"/>
    </row>
    <row r="6537" spans="13:13" x14ac:dyDescent="0.35">
      <c r="M6537" s="11"/>
    </row>
    <row r="6538" spans="13:13" x14ac:dyDescent="0.35">
      <c r="M6538" s="11"/>
    </row>
    <row r="6539" spans="13:13" x14ac:dyDescent="0.35">
      <c r="M6539" s="11"/>
    </row>
    <row r="6540" spans="13:13" x14ac:dyDescent="0.35">
      <c r="M6540" s="11"/>
    </row>
    <row r="6541" spans="13:13" x14ac:dyDescent="0.35">
      <c r="M6541" s="11"/>
    </row>
    <row r="6542" spans="13:13" x14ac:dyDescent="0.35">
      <c r="M6542" s="11"/>
    </row>
    <row r="6543" spans="13:13" x14ac:dyDescent="0.35">
      <c r="M6543" s="11"/>
    </row>
    <row r="6544" spans="13:13" x14ac:dyDescent="0.35">
      <c r="M6544" s="11"/>
    </row>
    <row r="6545" spans="13:13" x14ac:dyDescent="0.35">
      <c r="M6545" s="11"/>
    </row>
    <row r="6546" spans="13:13" x14ac:dyDescent="0.35">
      <c r="M6546" s="11"/>
    </row>
    <row r="6547" spans="13:13" x14ac:dyDescent="0.35">
      <c r="M6547" s="11"/>
    </row>
    <row r="6548" spans="13:13" x14ac:dyDescent="0.35">
      <c r="M6548" s="11"/>
    </row>
    <row r="6549" spans="13:13" x14ac:dyDescent="0.35">
      <c r="M6549" s="11"/>
    </row>
    <row r="6550" spans="13:13" x14ac:dyDescent="0.35">
      <c r="M6550" s="11"/>
    </row>
    <row r="6551" spans="13:13" x14ac:dyDescent="0.35">
      <c r="M6551" s="11"/>
    </row>
    <row r="6552" spans="13:13" x14ac:dyDescent="0.35">
      <c r="M6552" s="11"/>
    </row>
    <row r="6553" spans="13:13" x14ac:dyDescent="0.35">
      <c r="M6553" s="11"/>
    </row>
    <row r="6554" spans="13:13" x14ac:dyDescent="0.35">
      <c r="M6554" s="11"/>
    </row>
    <row r="6555" spans="13:13" x14ac:dyDescent="0.35">
      <c r="M6555" s="11"/>
    </row>
    <row r="6556" spans="13:13" x14ac:dyDescent="0.35">
      <c r="M6556" s="11"/>
    </row>
    <row r="6557" spans="13:13" x14ac:dyDescent="0.35">
      <c r="M6557" s="11"/>
    </row>
    <row r="6558" spans="13:13" x14ac:dyDescent="0.35">
      <c r="M6558" s="11"/>
    </row>
    <row r="6559" spans="13:13" x14ac:dyDescent="0.35">
      <c r="M6559" s="11"/>
    </row>
    <row r="6560" spans="13:13" x14ac:dyDescent="0.35">
      <c r="M6560" s="11"/>
    </row>
    <row r="6561" spans="13:13" x14ac:dyDescent="0.35">
      <c r="M6561" s="11"/>
    </row>
    <row r="6562" spans="13:13" x14ac:dyDescent="0.35">
      <c r="M6562" s="11"/>
    </row>
    <row r="6563" spans="13:13" x14ac:dyDescent="0.35">
      <c r="M6563" s="11"/>
    </row>
    <row r="6564" spans="13:13" x14ac:dyDescent="0.35">
      <c r="M6564" s="11"/>
    </row>
    <row r="6565" spans="13:13" x14ac:dyDescent="0.35">
      <c r="M6565" s="11"/>
    </row>
    <row r="6566" spans="13:13" x14ac:dyDescent="0.35">
      <c r="M6566" s="11"/>
    </row>
    <row r="6567" spans="13:13" x14ac:dyDescent="0.35">
      <c r="M6567" s="11"/>
    </row>
    <row r="6568" spans="13:13" x14ac:dyDescent="0.35">
      <c r="M6568" s="11"/>
    </row>
    <row r="6569" spans="13:13" x14ac:dyDescent="0.35">
      <c r="M6569" s="11"/>
    </row>
    <row r="6570" spans="13:13" x14ac:dyDescent="0.35">
      <c r="M6570" s="11"/>
    </row>
    <row r="6571" spans="13:13" x14ac:dyDescent="0.35">
      <c r="M6571" s="11"/>
    </row>
    <row r="6572" spans="13:13" x14ac:dyDescent="0.35">
      <c r="M6572" s="11"/>
    </row>
    <row r="6573" spans="13:13" x14ac:dyDescent="0.35">
      <c r="M6573" s="11"/>
    </row>
    <row r="6574" spans="13:13" x14ac:dyDescent="0.35">
      <c r="M6574" s="11"/>
    </row>
    <row r="6575" spans="13:13" x14ac:dyDescent="0.35">
      <c r="M6575" s="11"/>
    </row>
    <row r="6576" spans="13:13" x14ac:dyDescent="0.35">
      <c r="M6576" s="11"/>
    </row>
    <row r="6577" spans="13:13" x14ac:dyDescent="0.35">
      <c r="M6577" s="11"/>
    </row>
    <row r="6578" spans="13:13" x14ac:dyDescent="0.35">
      <c r="M6578" s="11"/>
    </row>
    <row r="6579" spans="13:13" x14ac:dyDescent="0.35">
      <c r="M6579" s="11"/>
    </row>
    <row r="6580" spans="13:13" x14ac:dyDescent="0.35">
      <c r="M6580" s="11"/>
    </row>
    <row r="6581" spans="13:13" x14ac:dyDescent="0.35">
      <c r="M6581" s="11"/>
    </row>
    <row r="6582" spans="13:13" x14ac:dyDescent="0.35">
      <c r="M6582" s="11"/>
    </row>
    <row r="6583" spans="13:13" x14ac:dyDescent="0.35">
      <c r="M6583" s="11"/>
    </row>
    <row r="6584" spans="13:13" x14ac:dyDescent="0.35">
      <c r="M6584" s="11"/>
    </row>
    <row r="6585" spans="13:13" x14ac:dyDescent="0.35">
      <c r="M6585" s="11"/>
    </row>
    <row r="6586" spans="13:13" x14ac:dyDescent="0.35">
      <c r="M6586" s="11"/>
    </row>
    <row r="6587" spans="13:13" x14ac:dyDescent="0.35">
      <c r="M6587" s="11"/>
    </row>
    <row r="6588" spans="13:13" x14ac:dyDescent="0.35">
      <c r="M6588" s="11"/>
    </row>
    <row r="6589" spans="13:13" x14ac:dyDescent="0.35">
      <c r="M6589" s="11"/>
    </row>
    <row r="6590" spans="13:13" x14ac:dyDescent="0.35">
      <c r="M6590" s="11"/>
    </row>
    <row r="6591" spans="13:13" x14ac:dyDescent="0.35">
      <c r="M6591" s="11"/>
    </row>
    <row r="6592" spans="13:13" x14ac:dyDescent="0.35">
      <c r="M6592" s="11"/>
    </row>
    <row r="6593" spans="13:13" x14ac:dyDescent="0.35">
      <c r="M6593" s="11"/>
    </row>
    <row r="6594" spans="13:13" x14ac:dyDescent="0.35">
      <c r="M6594" s="11"/>
    </row>
    <row r="6595" spans="13:13" x14ac:dyDescent="0.35">
      <c r="M6595" s="11"/>
    </row>
    <row r="6596" spans="13:13" x14ac:dyDescent="0.35">
      <c r="M6596" s="11"/>
    </row>
    <row r="6597" spans="13:13" x14ac:dyDescent="0.35">
      <c r="M6597" s="11"/>
    </row>
    <row r="6598" spans="13:13" x14ac:dyDescent="0.35">
      <c r="M6598" s="11"/>
    </row>
    <row r="6599" spans="13:13" x14ac:dyDescent="0.35">
      <c r="M6599" s="11"/>
    </row>
    <row r="6600" spans="13:13" x14ac:dyDescent="0.35">
      <c r="M6600" s="11"/>
    </row>
    <row r="6601" spans="13:13" x14ac:dyDescent="0.35">
      <c r="M6601" s="11"/>
    </row>
    <row r="6602" spans="13:13" x14ac:dyDescent="0.35">
      <c r="M6602" s="11"/>
    </row>
    <row r="6603" spans="13:13" x14ac:dyDescent="0.35">
      <c r="M6603" s="11"/>
    </row>
    <row r="6604" spans="13:13" x14ac:dyDescent="0.35">
      <c r="M6604" s="11"/>
    </row>
    <row r="6605" spans="13:13" x14ac:dyDescent="0.35">
      <c r="M6605" s="11"/>
    </row>
    <row r="6606" spans="13:13" x14ac:dyDescent="0.35">
      <c r="M6606" s="11"/>
    </row>
    <row r="6607" spans="13:13" x14ac:dyDescent="0.35">
      <c r="M6607" s="11"/>
    </row>
    <row r="6608" spans="13:13" x14ac:dyDescent="0.35">
      <c r="M6608" s="11"/>
    </row>
    <row r="6609" spans="13:13" x14ac:dyDescent="0.35">
      <c r="M6609" s="11"/>
    </row>
    <row r="6610" spans="13:13" x14ac:dyDescent="0.35">
      <c r="M6610" s="11"/>
    </row>
    <row r="6611" spans="13:13" x14ac:dyDescent="0.35">
      <c r="M6611" s="11"/>
    </row>
    <row r="6612" spans="13:13" x14ac:dyDescent="0.35">
      <c r="M6612" s="11"/>
    </row>
    <row r="6613" spans="13:13" x14ac:dyDescent="0.35">
      <c r="M6613" s="11"/>
    </row>
    <row r="6614" spans="13:13" x14ac:dyDescent="0.35">
      <c r="M6614" s="11"/>
    </row>
    <row r="6615" spans="13:13" x14ac:dyDescent="0.35">
      <c r="M6615" s="11"/>
    </row>
    <row r="6616" spans="13:13" x14ac:dyDescent="0.35">
      <c r="M6616" s="11"/>
    </row>
    <row r="6617" spans="13:13" x14ac:dyDescent="0.35">
      <c r="M6617" s="11"/>
    </row>
    <row r="6618" spans="13:13" x14ac:dyDescent="0.35">
      <c r="M6618" s="11"/>
    </row>
    <row r="6619" spans="13:13" x14ac:dyDescent="0.35">
      <c r="M6619" s="11"/>
    </row>
    <row r="6620" spans="13:13" x14ac:dyDescent="0.35">
      <c r="M6620" s="11"/>
    </row>
    <row r="6621" spans="13:13" x14ac:dyDescent="0.35">
      <c r="M6621" s="11"/>
    </row>
    <row r="6622" spans="13:13" x14ac:dyDescent="0.35">
      <c r="M6622" s="11"/>
    </row>
    <row r="6623" spans="13:13" x14ac:dyDescent="0.35">
      <c r="M6623" s="11"/>
    </row>
    <row r="6624" spans="13:13" x14ac:dyDescent="0.35">
      <c r="M6624" s="11"/>
    </row>
    <row r="6625" spans="13:13" x14ac:dyDescent="0.35">
      <c r="M6625" s="11"/>
    </row>
    <row r="6626" spans="13:13" x14ac:dyDescent="0.35">
      <c r="M6626" s="11"/>
    </row>
    <row r="6627" spans="13:13" x14ac:dyDescent="0.35">
      <c r="M6627" s="11"/>
    </row>
    <row r="6628" spans="13:13" x14ac:dyDescent="0.35">
      <c r="M6628" s="11"/>
    </row>
    <row r="6629" spans="13:13" x14ac:dyDescent="0.35">
      <c r="M6629" s="11"/>
    </row>
    <row r="6630" spans="13:13" x14ac:dyDescent="0.35">
      <c r="M6630" s="11"/>
    </row>
    <row r="6631" spans="13:13" x14ac:dyDescent="0.35">
      <c r="M6631" s="11"/>
    </row>
    <row r="6632" spans="13:13" x14ac:dyDescent="0.35">
      <c r="M6632" s="11"/>
    </row>
    <row r="6633" spans="13:13" x14ac:dyDescent="0.35">
      <c r="M6633" s="11"/>
    </row>
    <row r="6634" spans="13:13" x14ac:dyDescent="0.35">
      <c r="M6634" s="11"/>
    </row>
    <row r="6635" spans="13:13" x14ac:dyDescent="0.35">
      <c r="M6635" s="11"/>
    </row>
    <row r="6636" spans="13:13" x14ac:dyDescent="0.35">
      <c r="M6636" s="11"/>
    </row>
    <row r="6637" spans="13:13" x14ac:dyDescent="0.35">
      <c r="M6637" s="11"/>
    </row>
    <row r="6638" spans="13:13" x14ac:dyDescent="0.35">
      <c r="M6638" s="11"/>
    </row>
    <row r="6639" spans="13:13" x14ac:dyDescent="0.35">
      <c r="M6639" s="11"/>
    </row>
    <row r="6640" spans="13:13" x14ac:dyDescent="0.35">
      <c r="M6640" s="11"/>
    </row>
    <row r="6641" spans="13:13" x14ac:dyDescent="0.35">
      <c r="M6641" s="11"/>
    </row>
    <row r="6642" spans="13:13" x14ac:dyDescent="0.35">
      <c r="M6642" s="11"/>
    </row>
    <row r="6643" spans="13:13" x14ac:dyDescent="0.35">
      <c r="M6643" s="11"/>
    </row>
    <row r="6644" spans="13:13" x14ac:dyDescent="0.35">
      <c r="M6644" s="11"/>
    </row>
    <row r="6645" spans="13:13" x14ac:dyDescent="0.35">
      <c r="M6645" s="11"/>
    </row>
    <row r="6646" spans="13:13" x14ac:dyDescent="0.35">
      <c r="M6646" s="11"/>
    </row>
    <row r="6647" spans="13:13" x14ac:dyDescent="0.35">
      <c r="M6647" s="11"/>
    </row>
    <row r="6648" spans="13:13" x14ac:dyDescent="0.35">
      <c r="M6648" s="11"/>
    </row>
    <row r="6649" spans="13:13" x14ac:dyDescent="0.35">
      <c r="M6649" s="11"/>
    </row>
    <row r="6650" spans="13:13" x14ac:dyDescent="0.35">
      <c r="M6650" s="11"/>
    </row>
    <row r="6651" spans="13:13" x14ac:dyDescent="0.35">
      <c r="M6651" s="11"/>
    </row>
    <row r="6652" spans="13:13" x14ac:dyDescent="0.35">
      <c r="M6652" s="11"/>
    </row>
    <row r="6653" spans="13:13" x14ac:dyDescent="0.35">
      <c r="M6653" s="11"/>
    </row>
    <row r="6654" spans="13:13" x14ac:dyDescent="0.35">
      <c r="M6654" s="11"/>
    </row>
    <row r="6655" spans="13:13" x14ac:dyDescent="0.35">
      <c r="M6655" s="11"/>
    </row>
    <row r="6656" spans="13:13" x14ac:dyDescent="0.35">
      <c r="M6656" s="11"/>
    </row>
    <row r="6657" spans="13:13" x14ac:dyDescent="0.35">
      <c r="M6657" s="11"/>
    </row>
    <row r="6658" spans="13:13" x14ac:dyDescent="0.35">
      <c r="M6658" s="11"/>
    </row>
    <row r="6659" spans="13:13" x14ac:dyDescent="0.35">
      <c r="M6659" s="11"/>
    </row>
    <row r="6660" spans="13:13" x14ac:dyDescent="0.35">
      <c r="M6660" s="11"/>
    </row>
    <row r="6661" spans="13:13" x14ac:dyDescent="0.35">
      <c r="M6661" s="11"/>
    </row>
    <row r="6662" spans="13:13" x14ac:dyDescent="0.35">
      <c r="M6662" s="11"/>
    </row>
    <row r="6663" spans="13:13" x14ac:dyDescent="0.35">
      <c r="M6663" s="11"/>
    </row>
    <row r="6664" spans="13:13" x14ac:dyDescent="0.35">
      <c r="M6664" s="11"/>
    </row>
    <row r="6665" spans="13:13" x14ac:dyDescent="0.35">
      <c r="M6665" s="11"/>
    </row>
    <row r="6666" spans="13:13" x14ac:dyDescent="0.35">
      <c r="M6666" s="11"/>
    </row>
    <row r="6667" spans="13:13" x14ac:dyDescent="0.35">
      <c r="M6667" s="11"/>
    </row>
    <row r="6668" spans="13:13" x14ac:dyDescent="0.35">
      <c r="M6668" s="11"/>
    </row>
    <row r="6669" spans="13:13" x14ac:dyDescent="0.35">
      <c r="M6669" s="11"/>
    </row>
    <row r="6670" spans="13:13" x14ac:dyDescent="0.35">
      <c r="M6670" s="11"/>
    </row>
    <row r="6671" spans="13:13" x14ac:dyDescent="0.35">
      <c r="M6671" s="11"/>
    </row>
    <row r="6672" spans="13:13" x14ac:dyDescent="0.35">
      <c r="M6672" s="11"/>
    </row>
    <row r="6673" spans="13:13" x14ac:dyDescent="0.35">
      <c r="M6673" s="11"/>
    </row>
    <row r="6674" spans="13:13" x14ac:dyDescent="0.35">
      <c r="M6674" s="11"/>
    </row>
    <row r="6675" spans="13:13" x14ac:dyDescent="0.35">
      <c r="M6675" s="11"/>
    </row>
    <row r="6676" spans="13:13" x14ac:dyDescent="0.35">
      <c r="M6676" s="11"/>
    </row>
    <row r="6677" spans="13:13" x14ac:dyDescent="0.35">
      <c r="M6677" s="11"/>
    </row>
    <row r="6678" spans="13:13" x14ac:dyDescent="0.35">
      <c r="M6678" s="11"/>
    </row>
    <row r="6679" spans="13:13" x14ac:dyDescent="0.35">
      <c r="M6679" s="11"/>
    </row>
    <row r="6680" spans="13:13" x14ac:dyDescent="0.35">
      <c r="M6680" s="11"/>
    </row>
    <row r="6681" spans="13:13" x14ac:dyDescent="0.35">
      <c r="M6681" s="11"/>
    </row>
    <row r="6682" spans="13:13" x14ac:dyDescent="0.35">
      <c r="M6682" s="11"/>
    </row>
    <row r="6683" spans="13:13" x14ac:dyDescent="0.35">
      <c r="M6683" s="11"/>
    </row>
    <row r="6684" spans="13:13" x14ac:dyDescent="0.35">
      <c r="M6684" s="11"/>
    </row>
    <row r="6685" spans="13:13" x14ac:dyDescent="0.35">
      <c r="M6685" s="11"/>
    </row>
    <row r="6686" spans="13:13" x14ac:dyDescent="0.35">
      <c r="M6686" s="11"/>
    </row>
    <row r="6687" spans="13:13" x14ac:dyDescent="0.35">
      <c r="M6687" s="11"/>
    </row>
    <row r="6688" spans="13:13" x14ac:dyDescent="0.35">
      <c r="M6688" s="11"/>
    </row>
    <row r="6689" spans="13:13" x14ac:dyDescent="0.35">
      <c r="M6689" s="11"/>
    </row>
    <row r="6690" spans="13:13" x14ac:dyDescent="0.35">
      <c r="M6690" s="11"/>
    </row>
    <row r="6691" spans="13:13" x14ac:dyDescent="0.35">
      <c r="M6691" s="11"/>
    </row>
    <row r="6692" spans="13:13" x14ac:dyDescent="0.35">
      <c r="M6692" s="11"/>
    </row>
    <row r="6693" spans="13:13" x14ac:dyDescent="0.35">
      <c r="M6693" s="11"/>
    </row>
    <row r="6694" spans="13:13" x14ac:dyDescent="0.35">
      <c r="M6694" s="11"/>
    </row>
    <row r="6695" spans="13:13" x14ac:dyDescent="0.35">
      <c r="M6695" s="11"/>
    </row>
    <row r="6696" spans="13:13" x14ac:dyDescent="0.35">
      <c r="M6696" s="11"/>
    </row>
    <row r="6697" spans="13:13" x14ac:dyDescent="0.35">
      <c r="M6697" s="11"/>
    </row>
    <row r="6698" spans="13:13" x14ac:dyDescent="0.35">
      <c r="M6698" s="11"/>
    </row>
    <row r="6699" spans="13:13" x14ac:dyDescent="0.35">
      <c r="M6699" s="11"/>
    </row>
    <row r="6700" spans="13:13" x14ac:dyDescent="0.35">
      <c r="M6700" s="11"/>
    </row>
    <row r="6701" spans="13:13" x14ac:dyDescent="0.35">
      <c r="M6701" s="11"/>
    </row>
    <row r="6702" spans="13:13" x14ac:dyDescent="0.35">
      <c r="M6702" s="11"/>
    </row>
    <row r="6703" spans="13:13" x14ac:dyDescent="0.35">
      <c r="M6703" s="11"/>
    </row>
    <row r="6704" spans="13:13" x14ac:dyDescent="0.35">
      <c r="M6704" s="11"/>
    </row>
    <row r="6705" spans="13:13" x14ac:dyDescent="0.35">
      <c r="M6705" s="11"/>
    </row>
    <row r="6706" spans="13:13" x14ac:dyDescent="0.35">
      <c r="M6706" s="11"/>
    </row>
    <row r="6707" spans="13:13" x14ac:dyDescent="0.35">
      <c r="M6707" s="11"/>
    </row>
    <row r="6708" spans="13:13" x14ac:dyDescent="0.35">
      <c r="M6708" s="11"/>
    </row>
    <row r="6709" spans="13:13" x14ac:dyDescent="0.35">
      <c r="M6709" s="11"/>
    </row>
    <row r="6710" spans="13:13" x14ac:dyDescent="0.35">
      <c r="M6710" s="11"/>
    </row>
    <row r="6711" spans="13:13" x14ac:dyDescent="0.35">
      <c r="M6711" s="11"/>
    </row>
    <row r="6712" spans="13:13" x14ac:dyDescent="0.35">
      <c r="M6712" s="11"/>
    </row>
    <row r="6713" spans="13:13" x14ac:dyDescent="0.35">
      <c r="M6713" s="11"/>
    </row>
    <row r="6714" spans="13:13" x14ac:dyDescent="0.35">
      <c r="M6714" s="11"/>
    </row>
    <row r="6715" spans="13:13" x14ac:dyDescent="0.35">
      <c r="M6715" s="11"/>
    </row>
    <row r="6716" spans="13:13" x14ac:dyDescent="0.35">
      <c r="M6716" s="11"/>
    </row>
    <row r="6717" spans="13:13" x14ac:dyDescent="0.35">
      <c r="M6717" s="11"/>
    </row>
    <row r="6718" spans="13:13" x14ac:dyDescent="0.35">
      <c r="M6718" s="11"/>
    </row>
    <row r="6719" spans="13:13" x14ac:dyDescent="0.35">
      <c r="M6719" s="11"/>
    </row>
    <row r="6720" spans="13:13" x14ac:dyDescent="0.35">
      <c r="M6720" s="11"/>
    </row>
    <row r="6721" spans="13:13" x14ac:dyDescent="0.35">
      <c r="M6721" s="11"/>
    </row>
    <row r="6722" spans="13:13" x14ac:dyDescent="0.35">
      <c r="M6722" s="11"/>
    </row>
    <row r="6723" spans="13:13" x14ac:dyDescent="0.35">
      <c r="M6723" s="11"/>
    </row>
    <row r="6724" spans="13:13" x14ac:dyDescent="0.35">
      <c r="M6724" s="11"/>
    </row>
    <row r="6725" spans="13:13" x14ac:dyDescent="0.35">
      <c r="M6725" s="11"/>
    </row>
    <row r="6726" spans="13:13" x14ac:dyDescent="0.35">
      <c r="M6726" s="11"/>
    </row>
    <row r="6727" spans="13:13" x14ac:dyDescent="0.35">
      <c r="M6727" s="11"/>
    </row>
    <row r="6728" spans="13:13" x14ac:dyDescent="0.35">
      <c r="M6728" s="11"/>
    </row>
    <row r="6729" spans="13:13" x14ac:dyDescent="0.35">
      <c r="M6729" s="11"/>
    </row>
    <row r="6730" spans="13:13" x14ac:dyDescent="0.35">
      <c r="M6730" s="11"/>
    </row>
    <row r="6731" spans="13:13" x14ac:dyDescent="0.35">
      <c r="M6731" s="11"/>
    </row>
    <row r="6732" spans="13:13" x14ac:dyDescent="0.35">
      <c r="M6732" s="11"/>
    </row>
    <row r="6733" spans="13:13" x14ac:dyDescent="0.35">
      <c r="M6733" s="11"/>
    </row>
    <row r="6734" spans="13:13" x14ac:dyDescent="0.35">
      <c r="M6734" s="11"/>
    </row>
    <row r="6735" spans="13:13" x14ac:dyDescent="0.35">
      <c r="M6735" s="11"/>
    </row>
    <row r="6736" spans="13:13" x14ac:dyDescent="0.35">
      <c r="M6736" s="11"/>
    </row>
    <row r="6737" spans="13:13" x14ac:dyDescent="0.35">
      <c r="M6737" s="11"/>
    </row>
    <row r="6738" spans="13:13" x14ac:dyDescent="0.35">
      <c r="M6738" s="11"/>
    </row>
    <row r="6739" spans="13:13" x14ac:dyDescent="0.35">
      <c r="M6739" s="11"/>
    </row>
    <row r="6740" spans="13:13" x14ac:dyDescent="0.35">
      <c r="M6740" s="11"/>
    </row>
    <row r="6741" spans="13:13" x14ac:dyDescent="0.35">
      <c r="M6741" s="11"/>
    </row>
    <row r="6742" spans="13:13" x14ac:dyDescent="0.35">
      <c r="M6742" s="11"/>
    </row>
    <row r="6743" spans="13:13" x14ac:dyDescent="0.35">
      <c r="M6743" s="11"/>
    </row>
    <row r="6744" spans="13:13" x14ac:dyDescent="0.35">
      <c r="M6744" s="11"/>
    </row>
    <row r="6745" spans="13:13" x14ac:dyDescent="0.35">
      <c r="M6745" s="11"/>
    </row>
    <row r="6746" spans="13:13" x14ac:dyDescent="0.35">
      <c r="M6746" s="11"/>
    </row>
    <row r="6747" spans="13:13" x14ac:dyDescent="0.35">
      <c r="M6747" s="11"/>
    </row>
    <row r="6748" spans="13:13" x14ac:dyDescent="0.35">
      <c r="M6748" s="11"/>
    </row>
    <row r="6749" spans="13:13" x14ac:dyDescent="0.35">
      <c r="M6749" s="11"/>
    </row>
    <row r="6750" spans="13:13" x14ac:dyDescent="0.35">
      <c r="M6750" s="11"/>
    </row>
    <row r="6751" spans="13:13" x14ac:dyDescent="0.35">
      <c r="M6751" s="11"/>
    </row>
    <row r="6752" spans="13:13" x14ac:dyDescent="0.35">
      <c r="M6752" s="11"/>
    </row>
    <row r="6753" spans="13:13" x14ac:dyDescent="0.35">
      <c r="M6753" s="11"/>
    </row>
    <row r="6754" spans="13:13" x14ac:dyDescent="0.35">
      <c r="M6754" s="11"/>
    </row>
    <row r="6755" spans="13:13" x14ac:dyDescent="0.35">
      <c r="M6755" s="11"/>
    </row>
    <row r="6756" spans="13:13" x14ac:dyDescent="0.35">
      <c r="M6756" s="11"/>
    </row>
    <row r="6757" spans="13:13" x14ac:dyDescent="0.35">
      <c r="M6757" s="11"/>
    </row>
    <row r="6758" spans="13:13" x14ac:dyDescent="0.35">
      <c r="M6758" s="11"/>
    </row>
    <row r="6759" spans="13:13" x14ac:dyDescent="0.35">
      <c r="M6759" s="11"/>
    </row>
    <row r="6760" spans="13:13" x14ac:dyDescent="0.35">
      <c r="M6760" s="11"/>
    </row>
    <row r="6761" spans="13:13" x14ac:dyDescent="0.35">
      <c r="M6761" s="11"/>
    </row>
    <row r="6762" spans="13:13" x14ac:dyDescent="0.35">
      <c r="M6762" s="11"/>
    </row>
    <row r="6763" spans="13:13" x14ac:dyDescent="0.35">
      <c r="M6763" s="11"/>
    </row>
    <row r="6764" spans="13:13" x14ac:dyDescent="0.35">
      <c r="M6764" s="11"/>
    </row>
    <row r="6765" spans="13:13" x14ac:dyDescent="0.35">
      <c r="M6765" s="11"/>
    </row>
    <row r="6766" spans="13:13" x14ac:dyDescent="0.35">
      <c r="M6766" s="11"/>
    </row>
    <row r="6767" spans="13:13" x14ac:dyDescent="0.35">
      <c r="M6767" s="11"/>
    </row>
    <row r="6768" spans="13:13" x14ac:dyDescent="0.35">
      <c r="M6768" s="11"/>
    </row>
    <row r="6769" spans="13:13" x14ac:dyDescent="0.35">
      <c r="M6769" s="11"/>
    </row>
    <row r="6770" spans="13:13" x14ac:dyDescent="0.35">
      <c r="M6770" s="11"/>
    </row>
    <row r="6771" spans="13:13" x14ac:dyDescent="0.35">
      <c r="M6771" s="11"/>
    </row>
    <row r="6772" spans="13:13" x14ac:dyDescent="0.35">
      <c r="M6772" s="11"/>
    </row>
    <row r="6773" spans="13:13" x14ac:dyDescent="0.35">
      <c r="M6773" s="11"/>
    </row>
    <row r="6774" spans="13:13" x14ac:dyDescent="0.35">
      <c r="M6774" s="11"/>
    </row>
    <row r="6775" spans="13:13" x14ac:dyDescent="0.35">
      <c r="M6775" s="11"/>
    </row>
    <row r="6776" spans="13:13" x14ac:dyDescent="0.35">
      <c r="M6776" s="11"/>
    </row>
    <row r="6777" spans="13:13" x14ac:dyDescent="0.35">
      <c r="M6777" s="11"/>
    </row>
    <row r="6778" spans="13:13" x14ac:dyDescent="0.35">
      <c r="M6778" s="11"/>
    </row>
    <row r="6779" spans="13:13" x14ac:dyDescent="0.35">
      <c r="M6779" s="11"/>
    </row>
    <row r="6780" spans="13:13" x14ac:dyDescent="0.35">
      <c r="M6780" s="11"/>
    </row>
    <row r="6781" spans="13:13" x14ac:dyDescent="0.35">
      <c r="M6781" s="11"/>
    </row>
    <row r="6782" spans="13:13" x14ac:dyDescent="0.35">
      <c r="M6782" s="11"/>
    </row>
    <row r="6783" spans="13:13" x14ac:dyDescent="0.35">
      <c r="M6783" s="11"/>
    </row>
    <row r="6784" spans="13:13" x14ac:dyDescent="0.35">
      <c r="M6784" s="11"/>
    </row>
    <row r="6785" spans="13:13" x14ac:dyDescent="0.35">
      <c r="M6785" s="11"/>
    </row>
    <row r="6786" spans="13:13" x14ac:dyDescent="0.35">
      <c r="M6786" s="11"/>
    </row>
    <row r="6787" spans="13:13" x14ac:dyDescent="0.35">
      <c r="M6787" s="11"/>
    </row>
    <row r="6788" spans="13:13" x14ac:dyDescent="0.35">
      <c r="M6788" s="11"/>
    </row>
    <row r="6789" spans="13:13" x14ac:dyDescent="0.35">
      <c r="M6789" s="11"/>
    </row>
    <row r="6790" spans="13:13" x14ac:dyDescent="0.35">
      <c r="M6790" s="11"/>
    </row>
    <row r="6791" spans="13:13" x14ac:dyDescent="0.35">
      <c r="M6791" s="11"/>
    </row>
    <row r="6792" spans="13:13" x14ac:dyDescent="0.35">
      <c r="M6792" s="11"/>
    </row>
    <row r="6793" spans="13:13" x14ac:dyDescent="0.35">
      <c r="M6793" s="11"/>
    </row>
    <row r="6794" spans="13:13" x14ac:dyDescent="0.35">
      <c r="M6794" s="11"/>
    </row>
    <row r="6795" spans="13:13" x14ac:dyDescent="0.35">
      <c r="M6795" s="11"/>
    </row>
    <row r="6796" spans="13:13" x14ac:dyDescent="0.35">
      <c r="M6796" s="11"/>
    </row>
    <row r="6797" spans="13:13" x14ac:dyDescent="0.35">
      <c r="M6797" s="11"/>
    </row>
    <row r="6798" spans="13:13" x14ac:dyDescent="0.35">
      <c r="M6798" s="11"/>
    </row>
    <row r="6799" spans="13:13" x14ac:dyDescent="0.35">
      <c r="M6799" s="11"/>
    </row>
    <row r="6800" spans="13:13" x14ac:dyDescent="0.35">
      <c r="M6800" s="11"/>
    </row>
    <row r="6801" spans="13:13" x14ac:dyDescent="0.35">
      <c r="M6801" s="11"/>
    </row>
    <row r="6802" spans="13:13" x14ac:dyDescent="0.35">
      <c r="M6802" s="11"/>
    </row>
    <row r="6803" spans="13:13" x14ac:dyDescent="0.35">
      <c r="M6803" s="11"/>
    </row>
    <row r="6804" spans="13:13" x14ac:dyDescent="0.35">
      <c r="M6804" s="11"/>
    </row>
    <row r="6805" spans="13:13" x14ac:dyDescent="0.35">
      <c r="M6805" s="11"/>
    </row>
    <row r="6806" spans="13:13" x14ac:dyDescent="0.35">
      <c r="M6806" s="11"/>
    </row>
    <row r="6807" spans="13:13" x14ac:dyDescent="0.35">
      <c r="M6807" s="11"/>
    </row>
    <row r="6808" spans="13:13" x14ac:dyDescent="0.35">
      <c r="M6808" s="11"/>
    </row>
    <row r="6809" spans="13:13" x14ac:dyDescent="0.35">
      <c r="M6809" s="11"/>
    </row>
    <row r="6810" spans="13:13" x14ac:dyDescent="0.35">
      <c r="M6810" s="11"/>
    </row>
    <row r="6811" spans="13:13" x14ac:dyDescent="0.35">
      <c r="M6811" s="11"/>
    </row>
    <row r="6812" spans="13:13" x14ac:dyDescent="0.35">
      <c r="M6812" s="11"/>
    </row>
    <row r="6813" spans="13:13" x14ac:dyDescent="0.35">
      <c r="M6813" s="11"/>
    </row>
    <row r="6814" spans="13:13" x14ac:dyDescent="0.35">
      <c r="M6814" s="11"/>
    </row>
    <row r="6815" spans="13:13" x14ac:dyDescent="0.35">
      <c r="M6815" s="11"/>
    </row>
    <row r="6816" spans="13:13" x14ac:dyDescent="0.35">
      <c r="M6816" s="11"/>
    </row>
    <row r="6817" spans="13:13" x14ac:dyDescent="0.35">
      <c r="M6817" s="11"/>
    </row>
    <row r="6818" spans="13:13" x14ac:dyDescent="0.35">
      <c r="M6818" s="11"/>
    </row>
    <row r="6819" spans="13:13" x14ac:dyDescent="0.35">
      <c r="M6819" s="11"/>
    </row>
    <row r="6820" spans="13:13" x14ac:dyDescent="0.35">
      <c r="M6820" s="11"/>
    </row>
    <row r="6821" spans="13:13" x14ac:dyDescent="0.35">
      <c r="M6821" s="11"/>
    </row>
    <row r="6822" spans="13:13" x14ac:dyDescent="0.35">
      <c r="M6822" s="11"/>
    </row>
    <row r="6823" spans="13:13" x14ac:dyDescent="0.35">
      <c r="M6823" s="11"/>
    </row>
    <row r="6824" spans="13:13" x14ac:dyDescent="0.35">
      <c r="M6824" s="11"/>
    </row>
    <row r="6825" spans="13:13" x14ac:dyDescent="0.35">
      <c r="M6825" s="11"/>
    </row>
    <row r="6826" spans="13:13" x14ac:dyDescent="0.35">
      <c r="M6826" s="11"/>
    </row>
    <row r="6827" spans="13:13" x14ac:dyDescent="0.35">
      <c r="M6827" s="11"/>
    </row>
    <row r="6828" spans="13:13" x14ac:dyDescent="0.35">
      <c r="M6828" s="11"/>
    </row>
    <row r="6829" spans="13:13" x14ac:dyDescent="0.35">
      <c r="M6829" s="11"/>
    </row>
    <row r="6830" spans="13:13" x14ac:dyDescent="0.35">
      <c r="M6830" s="11"/>
    </row>
    <row r="6831" spans="13:13" x14ac:dyDescent="0.35">
      <c r="M6831" s="11"/>
    </row>
    <row r="6832" spans="13:13" x14ac:dyDescent="0.35">
      <c r="M6832" s="11"/>
    </row>
    <row r="6833" spans="13:13" x14ac:dyDescent="0.35">
      <c r="M6833" s="11"/>
    </row>
    <row r="6834" spans="13:13" x14ac:dyDescent="0.35">
      <c r="M6834" s="11"/>
    </row>
    <row r="6835" spans="13:13" x14ac:dyDescent="0.35">
      <c r="M6835" s="11"/>
    </row>
    <row r="6836" spans="13:13" x14ac:dyDescent="0.35">
      <c r="M6836" s="11"/>
    </row>
    <row r="6837" spans="13:13" x14ac:dyDescent="0.35">
      <c r="M6837" s="11"/>
    </row>
    <row r="6838" spans="13:13" x14ac:dyDescent="0.35">
      <c r="M6838" s="11"/>
    </row>
    <row r="6839" spans="13:13" x14ac:dyDescent="0.35">
      <c r="M6839" s="11"/>
    </row>
    <row r="6840" spans="13:13" x14ac:dyDescent="0.35">
      <c r="M6840" s="11"/>
    </row>
    <row r="6841" spans="13:13" x14ac:dyDescent="0.35">
      <c r="M6841" s="11"/>
    </row>
    <row r="6842" spans="13:13" x14ac:dyDescent="0.35">
      <c r="M6842" s="11"/>
    </row>
    <row r="6843" spans="13:13" x14ac:dyDescent="0.35">
      <c r="M6843" s="11"/>
    </row>
    <row r="6844" spans="13:13" x14ac:dyDescent="0.35">
      <c r="M6844" s="11"/>
    </row>
    <row r="6845" spans="13:13" x14ac:dyDescent="0.35">
      <c r="M6845" s="11"/>
    </row>
    <row r="6846" spans="13:13" x14ac:dyDescent="0.35">
      <c r="M6846" s="11"/>
    </row>
    <row r="6847" spans="13:13" x14ac:dyDescent="0.35">
      <c r="M6847" s="11"/>
    </row>
    <row r="6848" spans="13:13" x14ac:dyDescent="0.35">
      <c r="M6848" s="11"/>
    </row>
    <row r="6849" spans="13:13" x14ac:dyDescent="0.35">
      <c r="M6849" s="11"/>
    </row>
    <row r="6850" spans="13:13" x14ac:dyDescent="0.35">
      <c r="M6850" s="11"/>
    </row>
    <row r="6851" spans="13:13" x14ac:dyDescent="0.35">
      <c r="M6851" s="11"/>
    </row>
    <row r="6852" spans="13:13" x14ac:dyDescent="0.35">
      <c r="M6852" s="11"/>
    </row>
    <row r="6853" spans="13:13" x14ac:dyDescent="0.35">
      <c r="M6853" s="11"/>
    </row>
    <row r="6854" spans="13:13" x14ac:dyDescent="0.35">
      <c r="M6854" s="11"/>
    </row>
    <row r="6855" spans="13:13" x14ac:dyDescent="0.35">
      <c r="M6855" s="11"/>
    </row>
    <row r="6856" spans="13:13" x14ac:dyDescent="0.35">
      <c r="M6856" s="11"/>
    </row>
    <row r="6857" spans="13:13" x14ac:dyDescent="0.35">
      <c r="M6857" s="11"/>
    </row>
    <row r="6858" spans="13:13" x14ac:dyDescent="0.35">
      <c r="M6858" s="11"/>
    </row>
    <row r="6859" spans="13:13" x14ac:dyDescent="0.35">
      <c r="M6859" s="11"/>
    </row>
    <row r="6860" spans="13:13" x14ac:dyDescent="0.35">
      <c r="M6860" s="11"/>
    </row>
    <row r="6861" spans="13:13" x14ac:dyDescent="0.35">
      <c r="M6861" s="11"/>
    </row>
    <row r="6862" spans="13:13" x14ac:dyDescent="0.35">
      <c r="M6862" s="11"/>
    </row>
    <row r="6863" spans="13:13" x14ac:dyDescent="0.35">
      <c r="M6863" s="11"/>
    </row>
    <row r="6864" spans="13:13" x14ac:dyDescent="0.35">
      <c r="M6864" s="11"/>
    </row>
    <row r="6865" spans="13:13" x14ac:dyDescent="0.35">
      <c r="M6865" s="11"/>
    </row>
    <row r="6866" spans="13:13" x14ac:dyDescent="0.35">
      <c r="M6866" s="11"/>
    </row>
    <row r="6867" spans="13:13" x14ac:dyDescent="0.35">
      <c r="M6867" s="11"/>
    </row>
    <row r="6868" spans="13:13" x14ac:dyDescent="0.35">
      <c r="M6868" s="11"/>
    </row>
    <row r="6869" spans="13:13" x14ac:dyDescent="0.35">
      <c r="M6869" s="11"/>
    </row>
    <row r="6870" spans="13:13" x14ac:dyDescent="0.35">
      <c r="M6870" s="11"/>
    </row>
    <row r="6871" spans="13:13" x14ac:dyDescent="0.35">
      <c r="M6871" s="11"/>
    </row>
    <row r="6872" spans="13:13" x14ac:dyDescent="0.35">
      <c r="M6872" s="11"/>
    </row>
    <row r="6873" spans="13:13" x14ac:dyDescent="0.35">
      <c r="M6873" s="11"/>
    </row>
    <row r="6874" spans="13:13" x14ac:dyDescent="0.35">
      <c r="M6874" s="11"/>
    </row>
    <row r="6875" spans="13:13" x14ac:dyDescent="0.35">
      <c r="M6875" s="11"/>
    </row>
    <row r="6876" spans="13:13" x14ac:dyDescent="0.35">
      <c r="M6876" s="11"/>
    </row>
    <row r="6877" spans="13:13" x14ac:dyDescent="0.35">
      <c r="M6877" s="11"/>
    </row>
    <row r="6878" spans="13:13" x14ac:dyDescent="0.35">
      <c r="M6878" s="11"/>
    </row>
    <row r="6879" spans="13:13" x14ac:dyDescent="0.35">
      <c r="M6879" s="11"/>
    </row>
    <row r="6880" spans="13:13" x14ac:dyDescent="0.35">
      <c r="M6880" s="11"/>
    </row>
    <row r="6881" spans="13:13" x14ac:dyDescent="0.35">
      <c r="M6881" s="11"/>
    </row>
    <row r="6882" spans="13:13" x14ac:dyDescent="0.35">
      <c r="M6882" s="11"/>
    </row>
    <row r="6883" spans="13:13" x14ac:dyDescent="0.35">
      <c r="M6883" s="11"/>
    </row>
    <row r="6884" spans="13:13" x14ac:dyDescent="0.35">
      <c r="M6884" s="11"/>
    </row>
    <row r="6885" spans="13:13" x14ac:dyDescent="0.35">
      <c r="M6885" s="11"/>
    </row>
    <row r="6886" spans="13:13" x14ac:dyDescent="0.35">
      <c r="M6886" s="11"/>
    </row>
    <row r="6887" spans="13:13" x14ac:dyDescent="0.35">
      <c r="M6887" s="11"/>
    </row>
    <row r="6888" spans="13:13" x14ac:dyDescent="0.35">
      <c r="M6888" s="11"/>
    </row>
    <row r="6889" spans="13:13" x14ac:dyDescent="0.35">
      <c r="M6889" s="11"/>
    </row>
    <row r="6890" spans="13:13" x14ac:dyDescent="0.35">
      <c r="M6890" s="11"/>
    </row>
    <row r="6891" spans="13:13" x14ac:dyDescent="0.35">
      <c r="M6891" s="11"/>
    </row>
    <row r="6892" spans="13:13" x14ac:dyDescent="0.35">
      <c r="M6892" s="11"/>
    </row>
    <row r="6893" spans="13:13" x14ac:dyDescent="0.35">
      <c r="M6893" s="11"/>
    </row>
    <row r="6894" spans="13:13" x14ac:dyDescent="0.35">
      <c r="M6894" s="11"/>
    </row>
    <row r="6895" spans="13:13" x14ac:dyDescent="0.35">
      <c r="M6895" s="11"/>
    </row>
    <row r="6896" spans="13:13" x14ac:dyDescent="0.35">
      <c r="M6896" s="11"/>
    </row>
    <row r="6897" spans="13:13" x14ac:dyDescent="0.35">
      <c r="M6897" s="11"/>
    </row>
    <row r="6898" spans="13:13" x14ac:dyDescent="0.35">
      <c r="M6898" s="11"/>
    </row>
    <row r="6899" spans="13:13" x14ac:dyDescent="0.35">
      <c r="M6899" s="11"/>
    </row>
    <row r="6900" spans="13:13" x14ac:dyDescent="0.35">
      <c r="M6900" s="11"/>
    </row>
    <row r="6901" spans="13:13" x14ac:dyDescent="0.35">
      <c r="M6901" s="11"/>
    </row>
    <row r="6902" spans="13:13" x14ac:dyDescent="0.35">
      <c r="M6902" s="11"/>
    </row>
    <row r="6903" spans="13:13" x14ac:dyDescent="0.35">
      <c r="M6903" s="11"/>
    </row>
    <row r="6904" spans="13:13" x14ac:dyDescent="0.35">
      <c r="M6904" s="11"/>
    </row>
    <row r="6905" spans="13:13" x14ac:dyDescent="0.35">
      <c r="M6905" s="11"/>
    </row>
    <row r="6906" spans="13:13" x14ac:dyDescent="0.35">
      <c r="M6906" s="11"/>
    </row>
    <row r="6907" spans="13:13" x14ac:dyDescent="0.35">
      <c r="M6907" s="11"/>
    </row>
    <row r="6908" spans="13:13" x14ac:dyDescent="0.35">
      <c r="M6908" s="11"/>
    </row>
    <row r="6909" spans="13:13" x14ac:dyDescent="0.35">
      <c r="M6909" s="11"/>
    </row>
    <row r="6910" spans="13:13" x14ac:dyDescent="0.35">
      <c r="M6910" s="11"/>
    </row>
    <row r="6911" spans="13:13" x14ac:dyDescent="0.35">
      <c r="M6911" s="11"/>
    </row>
    <row r="6912" spans="13:13" x14ac:dyDescent="0.35">
      <c r="M6912" s="11"/>
    </row>
    <row r="6913" spans="13:13" x14ac:dyDescent="0.35">
      <c r="M6913" s="11"/>
    </row>
    <row r="6914" spans="13:13" x14ac:dyDescent="0.35">
      <c r="M6914" s="11"/>
    </row>
    <row r="6915" spans="13:13" x14ac:dyDescent="0.35">
      <c r="M6915" s="11"/>
    </row>
    <row r="6916" spans="13:13" x14ac:dyDescent="0.35">
      <c r="M6916" s="11"/>
    </row>
    <row r="6917" spans="13:13" x14ac:dyDescent="0.35">
      <c r="M6917" s="11"/>
    </row>
    <row r="6918" spans="13:13" x14ac:dyDescent="0.35">
      <c r="M6918" s="11"/>
    </row>
    <row r="6919" spans="13:13" x14ac:dyDescent="0.35">
      <c r="M6919" s="11"/>
    </row>
    <row r="6920" spans="13:13" x14ac:dyDescent="0.35">
      <c r="M6920" s="11"/>
    </row>
    <row r="6921" spans="13:13" x14ac:dyDescent="0.35">
      <c r="M6921" s="11"/>
    </row>
    <row r="6922" spans="13:13" x14ac:dyDescent="0.35">
      <c r="M6922" s="11"/>
    </row>
    <row r="6923" spans="13:13" x14ac:dyDescent="0.35">
      <c r="M6923" s="11"/>
    </row>
    <row r="6924" spans="13:13" x14ac:dyDescent="0.35">
      <c r="M6924" s="11"/>
    </row>
    <row r="6925" spans="13:13" x14ac:dyDescent="0.35">
      <c r="M6925" s="11"/>
    </row>
    <row r="6926" spans="13:13" x14ac:dyDescent="0.35">
      <c r="M6926" s="11"/>
    </row>
    <row r="6927" spans="13:13" x14ac:dyDescent="0.35">
      <c r="M6927" s="11"/>
    </row>
    <row r="6928" spans="13:13" x14ac:dyDescent="0.35">
      <c r="M6928" s="11"/>
    </row>
    <row r="6929" spans="13:13" x14ac:dyDescent="0.35">
      <c r="M6929" s="11"/>
    </row>
    <row r="6930" spans="13:13" x14ac:dyDescent="0.35">
      <c r="M6930" s="11"/>
    </row>
    <row r="6931" spans="13:13" x14ac:dyDescent="0.35">
      <c r="M6931" s="11"/>
    </row>
    <row r="6932" spans="13:13" x14ac:dyDescent="0.35">
      <c r="M6932" s="11"/>
    </row>
    <row r="6933" spans="13:13" x14ac:dyDescent="0.35">
      <c r="M6933" s="11"/>
    </row>
    <row r="6934" spans="13:13" x14ac:dyDescent="0.35">
      <c r="M6934" s="11"/>
    </row>
    <row r="6935" spans="13:13" x14ac:dyDescent="0.35">
      <c r="M6935" s="11"/>
    </row>
    <row r="6936" spans="13:13" x14ac:dyDescent="0.35">
      <c r="M6936" s="11"/>
    </row>
    <row r="6937" spans="13:13" x14ac:dyDescent="0.35">
      <c r="M6937" s="11"/>
    </row>
    <row r="6938" spans="13:13" x14ac:dyDescent="0.35">
      <c r="M6938" s="11"/>
    </row>
    <row r="6939" spans="13:13" x14ac:dyDescent="0.35">
      <c r="M6939" s="11"/>
    </row>
    <row r="6940" spans="13:13" x14ac:dyDescent="0.35">
      <c r="M6940" s="11"/>
    </row>
    <row r="6941" spans="13:13" x14ac:dyDescent="0.35">
      <c r="M6941" s="11"/>
    </row>
    <row r="6942" spans="13:13" x14ac:dyDescent="0.35">
      <c r="M6942" s="11"/>
    </row>
    <row r="6943" spans="13:13" x14ac:dyDescent="0.35">
      <c r="M6943" s="11"/>
    </row>
    <row r="6944" spans="13:13" x14ac:dyDescent="0.35">
      <c r="M6944" s="11"/>
    </row>
    <row r="6945" spans="13:13" x14ac:dyDescent="0.35">
      <c r="M6945" s="11"/>
    </row>
    <row r="6946" spans="13:13" x14ac:dyDescent="0.35">
      <c r="M6946" s="11"/>
    </row>
    <row r="6947" spans="13:13" x14ac:dyDescent="0.35">
      <c r="M6947" s="11"/>
    </row>
    <row r="6948" spans="13:13" x14ac:dyDescent="0.35">
      <c r="M6948" s="11"/>
    </row>
    <row r="6949" spans="13:13" x14ac:dyDescent="0.35">
      <c r="M6949" s="11"/>
    </row>
    <row r="6950" spans="13:13" x14ac:dyDescent="0.35">
      <c r="M6950" s="11"/>
    </row>
    <row r="6951" spans="13:13" x14ac:dyDescent="0.35">
      <c r="M6951" s="11"/>
    </row>
    <row r="6952" spans="13:13" x14ac:dyDescent="0.35">
      <c r="M6952" s="11"/>
    </row>
    <row r="6953" spans="13:13" x14ac:dyDescent="0.35">
      <c r="M6953" s="11"/>
    </row>
    <row r="6954" spans="13:13" x14ac:dyDescent="0.35">
      <c r="M6954" s="11"/>
    </row>
    <row r="6955" spans="13:13" x14ac:dyDescent="0.35">
      <c r="M6955" s="11"/>
    </row>
    <row r="6956" spans="13:13" x14ac:dyDescent="0.35">
      <c r="M6956" s="11"/>
    </row>
    <row r="6957" spans="13:13" x14ac:dyDescent="0.35">
      <c r="M6957" s="11"/>
    </row>
    <row r="6958" spans="13:13" x14ac:dyDescent="0.35">
      <c r="M6958" s="11"/>
    </row>
    <row r="6959" spans="13:13" x14ac:dyDescent="0.35">
      <c r="M6959" s="11"/>
    </row>
    <row r="6960" spans="13:13" x14ac:dyDescent="0.35">
      <c r="M6960" s="11"/>
    </row>
    <row r="6961" spans="13:13" x14ac:dyDescent="0.35">
      <c r="M6961" s="11"/>
    </row>
    <row r="6962" spans="13:13" x14ac:dyDescent="0.35">
      <c r="M6962" s="11"/>
    </row>
    <row r="6963" spans="13:13" x14ac:dyDescent="0.35">
      <c r="M6963" s="11"/>
    </row>
    <row r="6964" spans="13:13" x14ac:dyDescent="0.35">
      <c r="M6964" s="11"/>
    </row>
    <row r="6965" spans="13:13" x14ac:dyDescent="0.35">
      <c r="M6965" s="11"/>
    </row>
    <row r="6966" spans="13:13" x14ac:dyDescent="0.35">
      <c r="M6966" s="11"/>
    </row>
    <row r="6967" spans="13:13" x14ac:dyDescent="0.35">
      <c r="M6967" s="11"/>
    </row>
    <row r="6968" spans="13:13" x14ac:dyDescent="0.35">
      <c r="M6968" s="11"/>
    </row>
    <row r="6969" spans="13:13" x14ac:dyDescent="0.35">
      <c r="M6969" s="11"/>
    </row>
    <row r="6970" spans="13:13" x14ac:dyDescent="0.35">
      <c r="M6970" s="11"/>
    </row>
    <row r="6971" spans="13:13" x14ac:dyDescent="0.35">
      <c r="M6971" s="11"/>
    </row>
    <row r="6972" spans="13:13" x14ac:dyDescent="0.35">
      <c r="M6972" s="11"/>
    </row>
    <row r="6973" spans="13:13" x14ac:dyDescent="0.35">
      <c r="M6973" s="11"/>
    </row>
    <row r="6974" spans="13:13" x14ac:dyDescent="0.35">
      <c r="M6974" s="11"/>
    </row>
    <row r="6975" spans="13:13" x14ac:dyDescent="0.35">
      <c r="M6975" s="11"/>
    </row>
    <row r="6976" spans="13:13" x14ac:dyDescent="0.35">
      <c r="M6976" s="11"/>
    </row>
    <row r="6977" spans="13:13" x14ac:dyDescent="0.35">
      <c r="M6977" s="11"/>
    </row>
    <row r="6978" spans="13:13" x14ac:dyDescent="0.35">
      <c r="M6978" s="11"/>
    </row>
    <row r="6979" spans="13:13" x14ac:dyDescent="0.35">
      <c r="M6979" s="11"/>
    </row>
    <row r="6980" spans="13:13" x14ac:dyDescent="0.35">
      <c r="M6980" s="11"/>
    </row>
    <row r="6981" spans="13:13" x14ac:dyDescent="0.35">
      <c r="M6981" s="11"/>
    </row>
    <row r="6982" spans="13:13" x14ac:dyDescent="0.35">
      <c r="M6982" s="11"/>
    </row>
    <row r="6983" spans="13:13" x14ac:dyDescent="0.35">
      <c r="M6983" s="11"/>
    </row>
    <row r="6984" spans="13:13" x14ac:dyDescent="0.35">
      <c r="M6984" s="11"/>
    </row>
    <row r="6985" spans="13:13" x14ac:dyDescent="0.35">
      <c r="M6985" s="11"/>
    </row>
    <row r="6986" spans="13:13" x14ac:dyDescent="0.35">
      <c r="M6986" s="11"/>
    </row>
    <row r="6987" spans="13:13" x14ac:dyDescent="0.35">
      <c r="M6987" s="11"/>
    </row>
    <row r="6988" spans="13:13" x14ac:dyDescent="0.35">
      <c r="M6988" s="11"/>
    </row>
    <row r="6989" spans="13:13" x14ac:dyDescent="0.35">
      <c r="M6989" s="11"/>
    </row>
    <row r="6990" spans="13:13" x14ac:dyDescent="0.35">
      <c r="M6990" s="11"/>
    </row>
    <row r="6991" spans="13:13" x14ac:dyDescent="0.35">
      <c r="M6991" s="11"/>
    </row>
    <row r="6992" spans="13:13" x14ac:dyDescent="0.35">
      <c r="M6992" s="11"/>
    </row>
    <row r="6993" spans="13:13" x14ac:dyDescent="0.35">
      <c r="M6993" s="11"/>
    </row>
    <row r="6994" spans="13:13" x14ac:dyDescent="0.35">
      <c r="M6994" s="11"/>
    </row>
    <row r="6995" spans="13:13" x14ac:dyDescent="0.35">
      <c r="M6995" s="11"/>
    </row>
    <row r="6996" spans="13:13" x14ac:dyDescent="0.35">
      <c r="M6996" s="11"/>
    </row>
    <row r="6997" spans="13:13" x14ac:dyDescent="0.35">
      <c r="M6997" s="11"/>
    </row>
    <row r="6998" spans="13:13" x14ac:dyDescent="0.35">
      <c r="M6998" s="11"/>
    </row>
    <row r="6999" spans="13:13" x14ac:dyDescent="0.35">
      <c r="M6999" s="11"/>
    </row>
    <row r="7000" spans="13:13" x14ac:dyDescent="0.35">
      <c r="M7000" s="11"/>
    </row>
    <row r="7001" spans="13:13" x14ac:dyDescent="0.35">
      <c r="M7001" s="11"/>
    </row>
    <row r="7002" spans="13:13" x14ac:dyDescent="0.35">
      <c r="M7002" s="11"/>
    </row>
    <row r="7003" spans="13:13" x14ac:dyDescent="0.35">
      <c r="M7003" s="11"/>
    </row>
    <row r="7004" spans="13:13" x14ac:dyDescent="0.35">
      <c r="M7004" s="11"/>
    </row>
    <row r="7005" spans="13:13" x14ac:dyDescent="0.35">
      <c r="M7005" s="11"/>
    </row>
    <row r="7006" spans="13:13" x14ac:dyDescent="0.35">
      <c r="M7006" s="11"/>
    </row>
    <row r="7007" spans="13:13" x14ac:dyDescent="0.35">
      <c r="M7007" s="11"/>
    </row>
    <row r="7008" spans="13:13" x14ac:dyDescent="0.35">
      <c r="M7008" s="11"/>
    </row>
    <row r="7009" spans="13:13" x14ac:dyDescent="0.35">
      <c r="M7009" s="11"/>
    </row>
    <row r="7010" spans="13:13" x14ac:dyDescent="0.35">
      <c r="M7010" s="11"/>
    </row>
    <row r="7011" spans="13:13" x14ac:dyDescent="0.35">
      <c r="M7011" s="11"/>
    </row>
    <row r="7012" spans="13:13" x14ac:dyDescent="0.35">
      <c r="M7012" s="11"/>
    </row>
    <row r="7013" spans="13:13" x14ac:dyDescent="0.35">
      <c r="M7013" s="11"/>
    </row>
    <row r="7014" spans="13:13" x14ac:dyDescent="0.35">
      <c r="M7014" s="11"/>
    </row>
    <row r="7015" spans="13:13" x14ac:dyDescent="0.35">
      <c r="M7015" s="11"/>
    </row>
    <row r="7016" spans="13:13" x14ac:dyDescent="0.35">
      <c r="M7016" s="11"/>
    </row>
    <row r="7017" spans="13:13" x14ac:dyDescent="0.35">
      <c r="M7017" s="11"/>
    </row>
    <row r="7018" spans="13:13" x14ac:dyDescent="0.35">
      <c r="M7018" s="11"/>
    </row>
    <row r="7019" spans="13:13" x14ac:dyDescent="0.35">
      <c r="M7019" s="11"/>
    </row>
    <row r="7020" spans="13:13" x14ac:dyDescent="0.35">
      <c r="M7020" s="11"/>
    </row>
    <row r="7021" spans="13:13" x14ac:dyDescent="0.35">
      <c r="M7021" s="11"/>
    </row>
    <row r="7022" spans="13:13" x14ac:dyDescent="0.35">
      <c r="M7022" s="11"/>
    </row>
    <row r="7023" spans="13:13" x14ac:dyDescent="0.35">
      <c r="M7023" s="11"/>
    </row>
    <row r="7024" spans="13:13" x14ac:dyDescent="0.35">
      <c r="M7024" s="11"/>
    </row>
    <row r="7025" spans="13:13" x14ac:dyDescent="0.35">
      <c r="M7025" s="11"/>
    </row>
    <row r="7026" spans="13:13" x14ac:dyDescent="0.35">
      <c r="M7026" s="11"/>
    </row>
    <row r="7027" spans="13:13" x14ac:dyDescent="0.35">
      <c r="M7027" s="11"/>
    </row>
    <row r="7028" spans="13:13" x14ac:dyDescent="0.35">
      <c r="M7028" s="11"/>
    </row>
    <row r="7029" spans="13:13" x14ac:dyDescent="0.35">
      <c r="M7029" s="11"/>
    </row>
    <row r="7030" spans="13:13" x14ac:dyDescent="0.35">
      <c r="M7030" s="11"/>
    </row>
    <row r="7031" spans="13:13" x14ac:dyDescent="0.35">
      <c r="M7031" s="11"/>
    </row>
    <row r="7032" spans="13:13" x14ac:dyDescent="0.35">
      <c r="M7032" s="11"/>
    </row>
    <row r="7033" spans="13:13" x14ac:dyDescent="0.35">
      <c r="M7033" s="11"/>
    </row>
    <row r="7034" spans="13:13" x14ac:dyDescent="0.35">
      <c r="M7034" s="11"/>
    </row>
    <row r="7035" spans="13:13" x14ac:dyDescent="0.35">
      <c r="M7035" s="11"/>
    </row>
    <row r="7036" spans="13:13" x14ac:dyDescent="0.35">
      <c r="M7036" s="11"/>
    </row>
    <row r="7037" spans="13:13" x14ac:dyDescent="0.35">
      <c r="M7037" s="11"/>
    </row>
    <row r="7038" spans="13:13" x14ac:dyDescent="0.35">
      <c r="M7038" s="11"/>
    </row>
    <row r="7039" spans="13:13" x14ac:dyDescent="0.35">
      <c r="M7039" s="11"/>
    </row>
    <row r="7040" spans="13:13" x14ac:dyDescent="0.35">
      <c r="M7040" s="11"/>
    </row>
    <row r="7041" spans="13:13" x14ac:dyDescent="0.35">
      <c r="M7041" s="11"/>
    </row>
    <row r="7042" spans="13:13" x14ac:dyDescent="0.35">
      <c r="M7042" s="11"/>
    </row>
    <row r="7043" spans="13:13" x14ac:dyDescent="0.35">
      <c r="M7043" s="11"/>
    </row>
    <row r="7044" spans="13:13" x14ac:dyDescent="0.35">
      <c r="M7044" s="11"/>
    </row>
    <row r="7045" spans="13:13" x14ac:dyDescent="0.35">
      <c r="M7045" s="11"/>
    </row>
    <row r="7046" spans="13:13" x14ac:dyDescent="0.35">
      <c r="M7046" s="11"/>
    </row>
    <row r="7047" spans="13:13" x14ac:dyDescent="0.35">
      <c r="M7047" s="11"/>
    </row>
    <row r="7048" spans="13:13" x14ac:dyDescent="0.35">
      <c r="M7048" s="11"/>
    </row>
    <row r="7049" spans="13:13" x14ac:dyDescent="0.35">
      <c r="M7049" s="11"/>
    </row>
    <row r="7050" spans="13:13" x14ac:dyDescent="0.35">
      <c r="M7050" s="11"/>
    </row>
    <row r="7051" spans="13:13" x14ac:dyDescent="0.35">
      <c r="M7051" s="11"/>
    </row>
    <row r="7052" spans="13:13" x14ac:dyDescent="0.35">
      <c r="M7052" s="11"/>
    </row>
    <row r="7053" spans="13:13" x14ac:dyDescent="0.35">
      <c r="M7053" s="11"/>
    </row>
    <row r="7054" spans="13:13" x14ac:dyDescent="0.35">
      <c r="M7054" s="11"/>
    </row>
    <row r="7055" spans="13:13" x14ac:dyDescent="0.35">
      <c r="M7055" s="11"/>
    </row>
    <row r="7056" spans="13:13" x14ac:dyDescent="0.35">
      <c r="M7056" s="11"/>
    </row>
    <row r="7057" spans="13:13" x14ac:dyDescent="0.35">
      <c r="M7057" s="11"/>
    </row>
    <row r="7058" spans="13:13" x14ac:dyDescent="0.35">
      <c r="M7058" s="11"/>
    </row>
    <row r="7059" spans="13:13" x14ac:dyDescent="0.35">
      <c r="M7059" s="11"/>
    </row>
    <row r="7060" spans="13:13" x14ac:dyDescent="0.35">
      <c r="M7060" s="11"/>
    </row>
    <row r="7061" spans="13:13" x14ac:dyDescent="0.35">
      <c r="M7061" s="11"/>
    </row>
    <row r="7062" spans="13:13" x14ac:dyDescent="0.35">
      <c r="M7062" s="11"/>
    </row>
    <row r="7063" spans="13:13" x14ac:dyDescent="0.35">
      <c r="M7063" s="11"/>
    </row>
    <row r="7064" spans="13:13" x14ac:dyDescent="0.35">
      <c r="M7064" s="11"/>
    </row>
    <row r="7065" spans="13:13" x14ac:dyDescent="0.35">
      <c r="M7065" s="11"/>
    </row>
    <row r="7066" spans="13:13" x14ac:dyDescent="0.35">
      <c r="M7066" s="11"/>
    </row>
    <row r="7067" spans="13:13" x14ac:dyDescent="0.35">
      <c r="M7067" s="11"/>
    </row>
    <row r="7068" spans="13:13" x14ac:dyDescent="0.35">
      <c r="M7068" s="11"/>
    </row>
    <row r="7069" spans="13:13" x14ac:dyDescent="0.35">
      <c r="M7069" s="11"/>
    </row>
    <row r="7070" spans="13:13" x14ac:dyDescent="0.35">
      <c r="M7070" s="11"/>
    </row>
    <row r="7071" spans="13:13" x14ac:dyDescent="0.35">
      <c r="M7071" s="11"/>
    </row>
    <row r="7072" spans="13:13" x14ac:dyDescent="0.35">
      <c r="M7072" s="11"/>
    </row>
    <row r="7073" spans="13:13" x14ac:dyDescent="0.35">
      <c r="M7073" s="11"/>
    </row>
    <row r="7074" spans="13:13" x14ac:dyDescent="0.35">
      <c r="M7074" s="11"/>
    </row>
    <row r="7075" spans="13:13" x14ac:dyDescent="0.35">
      <c r="M7075" s="11"/>
    </row>
    <row r="7076" spans="13:13" x14ac:dyDescent="0.35">
      <c r="M7076" s="11"/>
    </row>
    <row r="7077" spans="13:13" x14ac:dyDescent="0.35">
      <c r="M7077" s="11"/>
    </row>
    <row r="7078" spans="13:13" x14ac:dyDescent="0.35">
      <c r="M7078" s="11"/>
    </row>
    <row r="7079" spans="13:13" x14ac:dyDescent="0.35">
      <c r="M7079" s="11"/>
    </row>
    <row r="7080" spans="13:13" x14ac:dyDescent="0.35">
      <c r="M7080" s="11"/>
    </row>
    <row r="7081" spans="13:13" x14ac:dyDescent="0.35">
      <c r="M7081" s="11"/>
    </row>
    <row r="7082" spans="13:13" x14ac:dyDescent="0.35">
      <c r="M7082" s="11"/>
    </row>
    <row r="7083" spans="13:13" x14ac:dyDescent="0.35">
      <c r="M7083" s="11"/>
    </row>
    <row r="7084" spans="13:13" x14ac:dyDescent="0.35">
      <c r="M7084" s="11"/>
    </row>
    <row r="7085" spans="13:13" x14ac:dyDescent="0.35">
      <c r="M7085" s="11"/>
    </row>
    <row r="7086" spans="13:13" x14ac:dyDescent="0.35">
      <c r="M7086" s="11"/>
    </row>
    <row r="7087" spans="13:13" x14ac:dyDescent="0.35">
      <c r="M7087" s="11"/>
    </row>
    <row r="7088" spans="13:13" x14ac:dyDescent="0.35">
      <c r="M7088" s="11"/>
    </row>
    <row r="7089" spans="13:13" x14ac:dyDescent="0.35">
      <c r="M7089" s="11"/>
    </row>
    <row r="7090" spans="13:13" x14ac:dyDescent="0.35">
      <c r="M7090" s="11"/>
    </row>
    <row r="7091" spans="13:13" x14ac:dyDescent="0.35">
      <c r="M7091" s="11"/>
    </row>
    <row r="7092" spans="13:13" x14ac:dyDescent="0.35">
      <c r="M7092" s="11"/>
    </row>
    <row r="7093" spans="13:13" x14ac:dyDescent="0.35">
      <c r="M7093" s="11"/>
    </row>
    <row r="7094" spans="13:13" x14ac:dyDescent="0.35">
      <c r="M7094" s="11"/>
    </row>
    <row r="7095" spans="13:13" x14ac:dyDescent="0.35">
      <c r="M7095" s="11"/>
    </row>
    <row r="7096" spans="13:13" x14ac:dyDescent="0.35">
      <c r="M7096" s="11"/>
    </row>
    <row r="7097" spans="13:13" x14ac:dyDescent="0.35">
      <c r="M7097" s="11"/>
    </row>
    <row r="7098" spans="13:13" x14ac:dyDescent="0.35">
      <c r="M7098" s="11"/>
    </row>
    <row r="7099" spans="13:13" x14ac:dyDescent="0.35">
      <c r="M7099" s="11"/>
    </row>
    <row r="7100" spans="13:13" x14ac:dyDescent="0.35">
      <c r="M7100" s="11"/>
    </row>
    <row r="7101" spans="13:13" x14ac:dyDescent="0.35">
      <c r="M7101" s="11"/>
    </row>
    <row r="7102" spans="13:13" x14ac:dyDescent="0.35">
      <c r="M7102" s="11"/>
    </row>
    <row r="7103" spans="13:13" x14ac:dyDescent="0.35">
      <c r="M7103" s="11"/>
    </row>
    <row r="7104" spans="13:13" x14ac:dyDescent="0.35">
      <c r="M7104" s="11"/>
    </row>
    <row r="7105" spans="13:13" x14ac:dyDescent="0.35">
      <c r="M7105" s="11"/>
    </row>
    <row r="7106" spans="13:13" x14ac:dyDescent="0.35">
      <c r="M7106" s="11"/>
    </row>
    <row r="7107" spans="13:13" x14ac:dyDescent="0.35">
      <c r="M7107" s="11"/>
    </row>
    <row r="7108" spans="13:13" x14ac:dyDescent="0.35">
      <c r="M7108" s="11"/>
    </row>
    <row r="7109" spans="13:13" x14ac:dyDescent="0.35">
      <c r="M7109" s="11"/>
    </row>
    <row r="7110" spans="13:13" x14ac:dyDescent="0.35">
      <c r="M7110" s="11"/>
    </row>
    <row r="7111" spans="13:13" x14ac:dyDescent="0.35">
      <c r="M7111" s="11"/>
    </row>
    <row r="7112" spans="13:13" x14ac:dyDescent="0.35">
      <c r="M7112" s="11"/>
    </row>
    <row r="7113" spans="13:13" x14ac:dyDescent="0.35">
      <c r="M7113" s="11"/>
    </row>
    <row r="7114" spans="13:13" x14ac:dyDescent="0.35">
      <c r="M7114" s="11"/>
    </row>
    <row r="7115" spans="13:13" x14ac:dyDescent="0.35">
      <c r="M7115" s="11"/>
    </row>
    <row r="7116" spans="13:13" x14ac:dyDescent="0.35">
      <c r="M7116" s="11"/>
    </row>
    <row r="7117" spans="13:13" x14ac:dyDescent="0.35">
      <c r="M7117" s="11"/>
    </row>
    <row r="7118" spans="13:13" x14ac:dyDescent="0.35">
      <c r="M7118" s="11"/>
    </row>
    <row r="7119" spans="13:13" x14ac:dyDescent="0.35">
      <c r="M7119" s="11"/>
    </row>
    <row r="7120" spans="13:13" x14ac:dyDescent="0.35">
      <c r="M7120" s="11"/>
    </row>
    <row r="7121" spans="13:13" x14ac:dyDescent="0.35">
      <c r="M7121" s="11"/>
    </row>
    <row r="7122" spans="13:13" x14ac:dyDescent="0.35">
      <c r="M7122" s="11"/>
    </row>
    <row r="7123" spans="13:13" x14ac:dyDescent="0.35">
      <c r="M7123" s="11"/>
    </row>
    <row r="7124" spans="13:13" x14ac:dyDescent="0.35">
      <c r="M7124" s="11"/>
    </row>
    <row r="7125" spans="13:13" x14ac:dyDescent="0.35">
      <c r="M7125" s="11"/>
    </row>
    <row r="7126" spans="13:13" x14ac:dyDescent="0.35">
      <c r="M7126" s="11"/>
    </row>
    <row r="7127" spans="13:13" x14ac:dyDescent="0.35">
      <c r="M7127" s="11"/>
    </row>
    <row r="7128" spans="13:13" x14ac:dyDescent="0.35">
      <c r="M7128" s="11"/>
    </row>
    <row r="7129" spans="13:13" x14ac:dyDescent="0.35">
      <c r="M7129" s="11"/>
    </row>
    <row r="7130" spans="13:13" x14ac:dyDescent="0.35">
      <c r="M7130" s="11"/>
    </row>
    <row r="7131" spans="13:13" x14ac:dyDescent="0.35">
      <c r="M7131" s="11"/>
    </row>
    <row r="7132" spans="13:13" x14ac:dyDescent="0.35">
      <c r="M7132" s="11"/>
    </row>
    <row r="7133" spans="13:13" x14ac:dyDescent="0.35">
      <c r="M7133" s="11"/>
    </row>
    <row r="7134" spans="13:13" x14ac:dyDescent="0.35">
      <c r="M7134" s="11"/>
    </row>
    <row r="7135" spans="13:13" x14ac:dyDescent="0.35">
      <c r="M7135" s="11"/>
    </row>
    <row r="7136" spans="13:13" x14ac:dyDescent="0.35">
      <c r="M7136" s="11"/>
    </row>
    <row r="7137" spans="13:13" x14ac:dyDescent="0.35">
      <c r="M7137" s="11"/>
    </row>
    <row r="7138" spans="13:13" x14ac:dyDescent="0.35">
      <c r="M7138" s="11"/>
    </row>
    <row r="7139" spans="13:13" x14ac:dyDescent="0.35">
      <c r="M7139" s="11"/>
    </row>
    <row r="7140" spans="13:13" x14ac:dyDescent="0.35">
      <c r="M7140" s="11"/>
    </row>
    <row r="7141" spans="13:13" x14ac:dyDescent="0.35">
      <c r="M7141" s="11"/>
    </row>
    <row r="7142" spans="13:13" x14ac:dyDescent="0.35">
      <c r="M7142" s="11"/>
    </row>
    <row r="7143" spans="13:13" x14ac:dyDescent="0.35">
      <c r="M7143" s="11"/>
    </row>
    <row r="7144" spans="13:13" x14ac:dyDescent="0.35">
      <c r="M7144" s="11"/>
    </row>
    <row r="7145" spans="13:13" x14ac:dyDescent="0.35">
      <c r="M7145" s="11"/>
    </row>
    <row r="7146" spans="13:13" x14ac:dyDescent="0.35">
      <c r="M7146" s="11"/>
    </row>
    <row r="7147" spans="13:13" x14ac:dyDescent="0.35">
      <c r="M7147" s="11"/>
    </row>
    <row r="7148" spans="13:13" x14ac:dyDescent="0.35">
      <c r="M7148" s="11"/>
    </row>
    <row r="7149" spans="13:13" x14ac:dyDescent="0.35">
      <c r="M7149" s="11"/>
    </row>
    <row r="7150" spans="13:13" x14ac:dyDescent="0.35">
      <c r="M7150" s="11"/>
    </row>
    <row r="7151" spans="13:13" x14ac:dyDescent="0.35">
      <c r="M7151" s="11"/>
    </row>
    <row r="7152" spans="13:13" x14ac:dyDescent="0.35">
      <c r="M7152" s="11"/>
    </row>
    <row r="7153" spans="13:13" x14ac:dyDescent="0.35">
      <c r="M7153" s="11"/>
    </row>
    <row r="7154" spans="13:13" x14ac:dyDescent="0.35">
      <c r="M7154" s="11"/>
    </row>
    <row r="7155" spans="13:13" x14ac:dyDescent="0.35">
      <c r="M7155" s="11"/>
    </row>
    <row r="7156" spans="13:13" x14ac:dyDescent="0.35">
      <c r="M7156" s="11"/>
    </row>
    <row r="7157" spans="13:13" x14ac:dyDescent="0.35">
      <c r="M7157" s="11"/>
    </row>
    <row r="7158" spans="13:13" x14ac:dyDescent="0.35">
      <c r="M7158" s="11"/>
    </row>
    <row r="7159" spans="13:13" x14ac:dyDescent="0.35">
      <c r="M7159" s="11"/>
    </row>
    <row r="7160" spans="13:13" x14ac:dyDescent="0.35">
      <c r="M7160" s="11"/>
    </row>
    <row r="7161" spans="13:13" x14ac:dyDescent="0.35">
      <c r="M7161" s="11"/>
    </row>
    <row r="7162" spans="13:13" x14ac:dyDescent="0.35">
      <c r="M7162" s="11"/>
    </row>
    <row r="7163" spans="13:13" x14ac:dyDescent="0.35">
      <c r="M7163" s="11"/>
    </row>
    <row r="7164" spans="13:13" x14ac:dyDescent="0.35">
      <c r="M7164" s="11"/>
    </row>
    <row r="7165" spans="13:13" x14ac:dyDescent="0.35">
      <c r="M7165" s="11"/>
    </row>
    <row r="7166" spans="13:13" x14ac:dyDescent="0.35">
      <c r="M7166" s="11"/>
    </row>
    <row r="7167" spans="13:13" x14ac:dyDescent="0.35">
      <c r="M7167" s="11"/>
    </row>
    <row r="7168" spans="13:13" x14ac:dyDescent="0.35">
      <c r="M7168" s="11"/>
    </row>
    <row r="7169" spans="13:13" x14ac:dyDescent="0.35">
      <c r="M7169" s="11"/>
    </row>
    <row r="7170" spans="13:13" x14ac:dyDescent="0.35">
      <c r="M7170" s="11"/>
    </row>
    <row r="7171" spans="13:13" x14ac:dyDescent="0.35">
      <c r="M7171" s="11"/>
    </row>
    <row r="7172" spans="13:13" x14ac:dyDescent="0.35">
      <c r="M7172" s="11"/>
    </row>
    <row r="7173" spans="13:13" x14ac:dyDescent="0.35">
      <c r="M7173" s="11"/>
    </row>
    <row r="7174" spans="13:13" x14ac:dyDescent="0.35">
      <c r="M7174" s="11"/>
    </row>
    <row r="7175" spans="13:13" x14ac:dyDescent="0.35">
      <c r="M7175" s="11"/>
    </row>
    <row r="7176" spans="13:13" x14ac:dyDescent="0.35">
      <c r="M7176" s="11"/>
    </row>
    <row r="7177" spans="13:13" x14ac:dyDescent="0.35">
      <c r="M7177" s="11"/>
    </row>
    <row r="7178" spans="13:13" x14ac:dyDescent="0.35">
      <c r="M7178" s="11"/>
    </row>
    <row r="7179" spans="13:13" x14ac:dyDescent="0.35">
      <c r="M7179" s="11"/>
    </row>
    <row r="7180" spans="13:13" x14ac:dyDescent="0.35">
      <c r="M7180" s="11"/>
    </row>
    <row r="7181" spans="13:13" x14ac:dyDescent="0.35">
      <c r="M7181" s="11"/>
    </row>
    <row r="7182" spans="13:13" x14ac:dyDescent="0.35">
      <c r="M7182" s="11"/>
    </row>
    <row r="7183" spans="13:13" x14ac:dyDescent="0.35">
      <c r="M7183" s="11"/>
    </row>
    <row r="7184" spans="13:13" x14ac:dyDescent="0.35">
      <c r="M7184" s="11"/>
    </row>
    <row r="7185" spans="13:13" x14ac:dyDescent="0.35">
      <c r="M7185" s="11"/>
    </row>
    <row r="7186" spans="13:13" x14ac:dyDescent="0.35">
      <c r="M7186" s="11"/>
    </row>
    <row r="7187" spans="13:13" x14ac:dyDescent="0.35">
      <c r="M7187" s="11"/>
    </row>
    <row r="7188" spans="13:13" x14ac:dyDescent="0.35">
      <c r="M7188" s="11"/>
    </row>
    <row r="7189" spans="13:13" x14ac:dyDescent="0.35">
      <c r="M7189" s="11"/>
    </row>
    <row r="7190" spans="13:13" x14ac:dyDescent="0.35">
      <c r="M7190" s="11"/>
    </row>
    <row r="7191" spans="13:13" x14ac:dyDescent="0.35">
      <c r="M7191" s="11"/>
    </row>
    <row r="7192" spans="13:13" x14ac:dyDescent="0.35">
      <c r="M7192" s="11"/>
    </row>
    <row r="7193" spans="13:13" x14ac:dyDescent="0.35">
      <c r="M7193" s="11"/>
    </row>
    <row r="7194" spans="13:13" x14ac:dyDescent="0.35">
      <c r="M7194" s="11"/>
    </row>
    <row r="7195" spans="13:13" x14ac:dyDescent="0.35">
      <c r="M7195" s="11"/>
    </row>
    <row r="7196" spans="13:13" x14ac:dyDescent="0.35">
      <c r="M7196" s="11"/>
    </row>
    <row r="7197" spans="13:13" x14ac:dyDescent="0.35">
      <c r="M7197" s="11"/>
    </row>
    <row r="7198" spans="13:13" x14ac:dyDescent="0.35">
      <c r="M7198" s="11"/>
    </row>
    <row r="7199" spans="13:13" x14ac:dyDescent="0.35">
      <c r="M7199" s="11"/>
    </row>
    <row r="7200" spans="13:13" x14ac:dyDescent="0.35">
      <c r="M7200" s="11"/>
    </row>
    <row r="7201" spans="13:13" x14ac:dyDescent="0.35">
      <c r="M7201" s="11"/>
    </row>
    <row r="7202" spans="13:13" x14ac:dyDescent="0.35">
      <c r="M7202" s="11"/>
    </row>
    <row r="7203" spans="13:13" x14ac:dyDescent="0.35">
      <c r="M7203" s="11"/>
    </row>
    <row r="7204" spans="13:13" x14ac:dyDescent="0.35">
      <c r="M7204" s="11"/>
    </row>
    <row r="7205" spans="13:13" x14ac:dyDescent="0.35">
      <c r="M7205" s="11"/>
    </row>
    <row r="7206" spans="13:13" x14ac:dyDescent="0.35">
      <c r="M7206" s="11"/>
    </row>
    <row r="7207" spans="13:13" x14ac:dyDescent="0.35">
      <c r="M7207" s="11"/>
    </row>
    <row r="7208" spans="13:13" x14ac:dyDescent="0.35">
      <c r="M7208" s="11"/>
    </row>
    <row r="7209" spans="13:13" x14ac:dyDescent="0.35">
      <c r="M7209" s="11"/>
    </row>
    <row r="7210" spans="13:13" x14ac:dyDescent="0.35">
      <c r="M7210" s="11"/>
    </row>
    <row r="7211" spans="13:13" x14ac:dyDescent="0.35">
      <c r="M7211" s="11"/>
    </row>
    <row r="7212" spans="13:13" x14ac:dyDescent="0.35">
      <c r="M7212" s="11"/>
    </row>
    <row r="7213" spans="13:13" x14ac:dyDescent="0.35">
      <c r="M7213" s="11"/>
    </row>
    <row r="7214" spans="13:13" x14ac:dyDescent="0.35">
      <c r="M7214" s="11"/>
    </row>
    <row r="7215" spans="13:13" x14ac:dyDescent="0.35">
      <c r="M7215" s="11"/>
    </row>
    <row r="7216" spans="13:13" x14ac:dyDescent="0.35">
      <c r="M7216" s="11"/>
    </row>
    <row r="7217" spans="13:13" x14ac:dyDescent="0.35">
      <c r="M7217" s="11"/>
    </row>
    <row r="7218" spans="13:13" x14ac:dyDescent="0.35">
      <c r="M7218" s="11"/>
    </row>
    <row r="7219" spans="13:13" x14ac:dyDescent="0.35">
      <c r="M7219" s="11"/>
    </row>
    <row r="7220" spans="13:13" x14ac:dyDescent="0.35">
      <c r="M7220" s="11"/>
    </row>
    <row r="7221" spans="13:13" x14ac:dyDescent="0.35">
      <c r="M7221" s="11"/>
    </row>
    <row r="7222" spans="13:13" x14ac:dyDescent="0.35">
      <c r="M7222" s="11"/>
    </row>
    <row r="7223" spans="13:13" x14ac:dyDescent="0.35">
      <c r="M7223" s="11"/>
    </row>
    <row r="7224" spans="13:13" x14ac:dyDescent="0.35">
      <c r="M7224" s="11"/>
    </row>
    <row r="7225" spans="13:13" x14ac:dyDescent="0.35">
      <c r="M7225" s="11"/>
    </row>
    <row r="7226" spans="13:13" x14ac:dyDescent="0.35">
      <c r="M7226" s="11"/>
    </row>
    <row r="7227" spans="13:13" x14ac:dyDescent="0.35">
      <c r="M7227" s="11"/>
    </row>
    <row r="7228" spans="13:13" x14ac:dyDescent="0.35">
      <c r="M7228" s="11"/>
    </row>
    <row r="7229" spans="13:13" x14ac:dyDescent="0.35">
      <c r="M7229" s="11"/>
    </row>
    <row r="7230" spans="13:13" x14ac:dyDescent="0.35">
      <c r="M7230" s="11"/>
    </row>
    <row r="7231" spans="13:13" x14ac:dyDescent="0.35">
      <c r="M7231" s="11"/>
    </row>
    <row r="7232" spans="13:13" x14ac:dyDescent="0.35">
      <c r="M7232" s="11"/>
    </row>
    <row r="7233" spans="13:13" x14ac:dyDescent="0.35">
      <c r="M7233" s="11"/>
    </row>
    <row r="7234" spans="13:13" x14ac:dyDescent="0.35">
      <c r="M7234" s="11"/>
    </row>
    <row r="7235" spans="13:13" x14ac:dyDescent="0.35">
      <c r="M7235" s="11"/>
    </row>
    <row r="7236" spans="13:13" x14ac:dyDescent="0.35">
      <c r="M7236" s="11"/>
    </row>
    <row r="7237" spans="13:13" x14ac:dyDescent="0.35">
      <c r="M7237" s="11"/>
    </row>
    <row r="7238" spans="13:13" x14ac:dyDescent="0.35">
      <c r="M7238" s="11"/>
    </row>
    <row r="7239" spans="13:13" x14ac:dyDescent="0.35">
      <c r="M7239" s="11"/>
    </row>
    <row r="7240" spans="13:13" x14ac:dyDescent="0.35">
      <c r="M7240" s="11"/>
    </row>
    <row r="7241" spans="13:13" x14ac:dyDescent="0.35">
      <c r="M7241" s="11"/>
    </row>
    <row r="7242" spans="13:13" x14ac:dyDescent="0.35">
      <c r="M7242" s="11"/>
    </row>
    <row r="7243" spans="13:13" x14ac:dyDescent="0.35">
      <c r="M7243" s="11"/>
    </row>
    <row r="7244" spans="13:13" x14ac:dyDescent="0.35">
      <c r="M7244" s="11"/>
    </row>
    <row r="7245" spans="13:13" x14ac:dyDescent="0.35">
      <c r="M7245" s="11"/>
    </row>
    <row r="7246" spans="13:13" x14ac:dyDescent="0.35">
      <c r="M7246" s="11"/>
    </row>
    <row r="7247" spans="13:13" x14ac:dyDescent="0.35">
      <c r="M7247" s="11"/>
    </row>
    <row r="7248" spans="13:13" x14ac:dyDescent="0.35">
      <c r="M7248" s="11"/>
    </row>
    <row r="7249" spans="13:13" x14ac:dyDescent="0.35">
      <c r="M7249" s="11"/>
    </row>
    <row r="7250" spans="13:13" x14ac:dyDescent="0.35">
      <c r="M7250" s="11"/>
    </row>
    <row r="7251" spans="13:13" x14ac:dyDescent="0.35">
      <c r="M7251" s="11"/>
    </row>
    <row r="7252" spans="13:13" x14ac:dyDescent="0.35">
      <c r="M7252" s="11"/>
    </row>
    <row r="7253" spans="13:13" x14ac:dyDescent="0.35">
      <c r="M7253" s="11"/>
    </row>
    <row r="7254" spans="13:13" x14ac:dyDescent="0.35">
      <c r="M7254" s="11"/>
    </row>
    <row r="7255" spans="13:13" x14ac:dyDescent="0.35">
      <c r="M7255" s="11"/>
    </row>
    <row r="7256" spans="13:13" x14ac:dyDescent="0.35">
      <c r="M7256" s="11"/>
    </row>
    <row r="7257" spans="13:13" x14ac:dyDescent="0.35">
      <c r="M7257" s="11"/>
    </row>
    <row r="7258" spans="13:13" x14ac:dyDescent="0.35">
      <c r="M7258" s="11"/>
    </row>
    <row r="7259" spans="13:13" x14ac:dyDescent="0.35">
      <c r="M7259" s="11"/>
    </row>
    <row r="7260" spans="13:13" x14ac:dyDescent="0.35">
      <c r="M7260" s="11"/>
    </row>
    <row r="7261" spans="13:13" x14ac:dyDescent="0.35">
      <c r="M7261" s="11"/>
    </row>
    <row r="7262" spans="13:13" x14ac:dyDescent="0.35">
      <c r="M7262" s="11"/>
    </row>
    <row r="7263" spans="13:13" x14ac:dyDescent="0.35">
      <c r="M7263" s="11"/>
    </row>
    <row r="7264" spans="13:13" x14ac:dyDescent="0.35">
      <c r="M7264" s="11"/>
    </row>
    <row r="7265" spans="13:13" x14ac:dyDescent="0.35">
      <c r="M7265" s="11"/>
    </row>
    <row r="7266" spans="13:13" x14ac:dyDescent="0.35">
      <c r="M7266" s="11"/>
    </row>
    <row r="7267" spans="13:13" x14ac:dyDescent="0.35">
      <c r="M7267" s="11"/>
    </row>
    <row r="7268" spans="13:13" x14ac:dyDescent="0.35">
      <c r="M7268" s="11"/>
    </row>
    <row r="7269" spans="13:13" x14ac:dyDescent="0.35">
      <c r="M7269" s="11"/>
    </row>
    <row r="7270" spans="13:13" x14ac:dyDescent="0.35">
      <c r="M7270" s="11"/>
    </row>
    <row r="7271" spans="13:13" x14ac:dyDescent="0.35">
      <c r="M7271" s="11"/>
    </row>
    <row r="7272" spans="13:13" x14ac:dyDescent="0.35">
      <c r="M7272" s="11"/>
    </row>
    <row r="7273" spans="13:13" x14ac:dyDescent="0.35">
      <c r="M7273" s="11"/>
    </row>
    <row r="7274" spans="13:13" x14ac:dyDescent="0.35">
      <c r="M7274" s="11"/>
    </row>
    <row r="7275" spans="13:13" x14ac:dyDescent="0.35">
      <c r="M7275" s="11"/>
    </row>
    <row r="7276" spans="13:13" x14ac:dyDescent="0.35">
      <c r="M7276" s="11"/>
    </row>
    <row r="7277" spans="13:13" x14ac:dyDescent="0.35">
      <c r="M7277" s="11"/>
    </row>
    <row r="7278" spans="13:13" x14ac:dyDescent="0.35">
      <c r="M7278" s="11"/>
    </row>
    <row r="7279" spans="13:13" x14ac:dyDescent="0.35">
      <c r="M7279" s="11"/>
    </row>
    <row r="7280" spans="13:13" x14ac:dyDescent="0.35">
      <c r="M7280" s="11"/>
    </row>
    <row r="7281" spans="13:13" x14ac:dyDescent="0.35">
      <c r="M7281" s="11"/>
    </row>
    <row r="7282" spans="13:13" x14ac:dyDescent="0.35">
      <c r="M7282" s="11"/>
    </row>
    <row r="7283" spans="13:13" x14ac:dyDescent="0.35">
      <c r="M7283" s="11"/>
    </row>
    <row r="7284" spans="13:13" x14ac:dyDescent="0.35">
      <c r="M7284" s="11"/>
    </row>
    <row r="7285" spans="13:13" x14ac:dyDescent="0.35">
      <c r="M7285" s="11"/>
    </row>
    <row r="7286" spans="13:13" x14ac:dyDescent="0.35">
      <c r="M7286" s="11"/>
    </row>
    <row r="7287" spans="13:13" x14ac:dyDescent="0.35">
      <c r="M7287" s="11"/>
    </row>
    <row r="7288" spans="13:13" x14ac:dyDescent="0.35">
      <c r="M7288" s="11"/>
    </row>
    <row r="7289" spans="13:13" x14ac:dyDescent="0.35">
      <c r="M7289" s="11"/>
    </row>
    <row r="7290" spans="13:13" x14ac:dyDescent="0.35">
      <c r="M7290" s="11"/>
    </row>
    <row r="7291" spans="13:13" x14ac:dyDescent="0.35">
      <c r="M7291" s="11"/>
    </row>
    <row r="7292" spans="13:13" x14ac:dyDescent="0.35">
      <c r="M7292" s="11"/>
    </row>
    <row r="7293" spans="13:13" x14ac:dyDescent="0.35">
      <c r="M7293" s="11"/>
    </row>
    <row r="7294" spans="13:13" x14ac:dyDescent="0.35">
      <c r="M7294" s="11"/>
    </row>
    <row r="7295" spans="13:13" x14ac:dyDescent="0.35">
      <c r="M7295" s="11"/>
    </row>
    <row r="7296" spans="13:13" x14ac:dyDescent="0.35">
      <c r="M7296" s="11"/>
    </row>
    <row r="7297" spans="13:13" x14ac:dyDescent="0.35">
      <c r="M7297" s="11"/>
    </row>
    <row r="7298" spans="13:13" x14ac:dyDescent="0.35">
      <c r="M7298" s="11"/>
    </row>
    <row r="7299" spans="13:13" x14ac:dyDescent="0.35">
      <c r="M7299" s="11"/>
    </row>
    <row r="7300" spans="13:13" x14ac:dyDescent="0.35">
      <c r="M7300" s="11"/>
    </row>
    <row r="7301" spans="13:13" x14ac:dyDescent="0.35">
      <c r="M7301" s="11"/>
    </row>
    <row r="7302" spans="13:13" x14ac:dyDescent="0.35">
      <c r="M7302" s="11"/>
    </row>
    <row r="7303" spans="13:13" x14ac:dyDescent="0.35">
      <c r="M7303" s="11"/>
    </row>
    <row r="7304" spans="13:13" x14ac:dyDescent="0.35">
      <c r="M7304" s="11"/>
    </row>
    <row r="7305" spans="13:13" x14ac:dyDescent="0.35">
      <c r="M7305" s="11"/>
    </row>
    <row r="7306" spans="13:13" x14ac:dyDescent="0.35">
      <c r="M7306" s="11"/>
    </row>
    <row r="7307" spans="13:13" x14ac:dyDescent="0.35">
      <c r="M7307" s="11"/>
    </row>
    <row r="7308" spans="13:13" x14ac:dyDescent="0.35">
      <c r="M7308" s="11"/>
    </row>
    <row r="7309" spans="13:13" x14ac:dyDescent="0.35">
      <c r="M7309" s="11"/>
    </row>
    <row r="7310" spans="13:13" x14ac:dyDescent="0.35">
      <c r="M7310" s="11"/>
    </row>
    <row r="7311" spans="13:13" x14ac:dyDescent="0.35">
      <c r="M7311" s="11"/>
    </row>
    <row r="7312" spans="13:13" x14ac:dyDescent="0.35">
      <c r="M7312" s="11"/>
    </row>
    <row r="7313" spans="13:13" x14ac:dyDescent="0.35">
      <c r="M7313" s="11"/>
    </row>
    <row r="7314" spans="13:13" x14ac:dyDescent="0.35">
      <c r="M7314" s="11"/>
    </row>
    <row r="7315" spans="13:13" x14ac:dyDescent="0.35">
      <c r="M7315" s="11"/>
    </row>
    <row r="7316" spans="13:13" x14ac:dyDescent="0.35">
      <c r="M7316" s="11"/>
    </row>
    <row r="7317" spans="13:13" x14ac:dyDescent="0.35">
      <c r="M7317" s="11"/>
    </row>
    <row r="7318" spans="13:13" x14ac:dyDescent="0.35">
      <c r="M7318" s="11"/>
    </row>
    <row r="7319" spans="13:13" x14ac:dyDescent="0.35">
      <c r="M7319" s="11"/>
    </row>
    <row r="7320" spans="13:13" x14ac:dyDescent="0.35">
      <c r="M7320" s="11"/>
    </row>
    <row r="7321" spans="13:13" x14ac:dyDescent="0.35">
      <c r="M7321" s="11"/>
    </row>
    <row r="7322" spans="13:13" x14ac:dyDescent="0.35">
      <c r="M7322" s="11"/>
    </row>
    <row r="7323" spans="13:13" x14ac:dyDescent="0.35">
      <c r="M7323" s="11"/>
    </row>
    <row r="7324" spans="13:13" x14ac:dyDescent="0.35">
      <c r="M7324" s="11"/>
    </row>
    <row r="7325" spans="13:13" x14ac:dyDescent="0.35">
      <c r="M7325" s="11"/>
    </row>
    <row r="7326" spans="13:13" x14ac:dyDescent="0.35">
      <c r="M7326" s="11"/>
    </row>
    <row r="7327" spans="13:13" x14ac:dyDescent="0.35">
      <c r="M7327" s="11"/>
    </row>
    <row r="7328" spans="13:13" x14ac:dyDescent="0.35">
      <c r="M7328" s="11"/>
    </row>
    <row r="7329" spans="13:13" x14ac:dyDescent="0.35">
      <c r="M7329" s="11"/>
    </row>
    <row r="7330" spans="13:13" x14ac:dyDescent="0.35">
      <c r="M7330" s="11"/>
    </row>
    <row r="7331" spans="13:13" x14ac:dyDescent="0.35">
      <c r="M7331" s="11"/>
    </row>
    <row r="7332" spans="13:13" x14ac:dyDescent="0.35">
      <c r="M7332" s="11"/>
    </row>
    <row r="7333" spans="13:13" x14ac:dyDescent="0.35">
      <c r="M7333" s="11"/>
    </row>
    <row r="7334" spans="13:13" x14ac:dyDescent="0.35">
      <c r="M7334" s="11"/>
    </row>
    <row r="7335" spans="13:13" x14ac:dyDescent="0.35">
      <c r="M7335" s="11"/>
    </row>
    <row r="7336" spans="13:13" x14ac:dyDescent="0.35">
      <c r="M7336" s="11"/>
    </row>
    <row r="7337" spans="13:13" x14ac:dyDescent="0.35">
      <c r="M7337" s="11"/>
    </row>
    <row r="7338" spans="13:13" x14ac:dyDescent="0.35">
      <c r="M7338" s="11"/>
    </row>
    <row r="7339" spans="13:13" x14ac:dyDescent="0.35">
      <c r="M7339" s="11"/>
    </row>
    <row r="7340" spans="13:13" x14ac:dyDescent="0.35">
      <c r="M7340" s="11"/>
    </row>
    <row r="7341" spans="13:13" x14ac:dyDescent="0.35">
      <c r="M7341" s="11"/>
    </row>
    <row r="7342" spans="13:13" x14ac:dyDescent="0.35">
      <c r="M7342" s="11"/>
    </row>
    <row r="7343" spans="13:13" x14ac:dyDescent="0.35">
      <c r="M7343" s="11"/>
    </row>
    <row r="7344" spans="13:13" x14ac:dyDescent="0.35">
      <c r="M7344" s="11"/>
    </row>
    <row r="7345" spans="13:13" x14ac:dyDescent="0.35">
      <c r="M7345" s="11"/>
    </row>
    <row r="7346" spans="13:13" x14ac:dyDescent="0.35">
      <c r="M7346" s="11"/>
    </row>
    <row r="7347" spans="13:13" x14ac:dyDescent="0.35">
      <c r="M7347" s="11"/>
    </row>
    <row r="7348" spans="13:13" x14ac:dyDescent="0.35">
      <c r="M7348" s="11"/>
    </row>
    <row r="7349" spans="13:13" x14ac:dyDescent="0.35">
      <c r="M7349" s="11"/>
    </row>
    <row r="7350" spans="13:13" x14ac:dyDescent="0.35">
      <c r="M7350" s="11"/>
    </row>
    <row r="7351" spans="13:13" x14ac:dyDescent="0.35">
      <c r="M7351" s="11"/>
    </row>
    <row r="7352" spans="13:13" x14ac:dyDescent="0.35">
      <c r="M7352" s="11"/>
    </row>
    <row r="7353" spans="13:13" x14ac:dyDescent="0.35">
      <c r="M7353" s="11"/>
    </row>
    <row r="7354" spans="13:13" x14ac:dyDescent="0.35">
      <c r="M7354" s="11"/>
    </row>
    <row r="7355" spans="13:13" x14ac:dyDescent="0.35">
      <c r="M7355" s="11"/>
    </row>
    <row r="7356" spans="13:13" x14ac:dyDescent="0.35">
      <c r="M7356" s="11"/>
    </row>
    <row r="7357" spans="13:13" x14ac:dyDescent="0.35">
      <c r="M7357" s="11"/>
    </row>
    <row r="7358" spans="13:13" x14ac:dyDescent="0.35">
      <c r="M7358" s="11"/>
    </row>
    <row r="7359" spans="13:13" x14ac:dyDescent="0.35">
      <c r="M7359" s="11"/>
    </row>
    <row r="7360" spans="13:13" x14ac:dyDescent="0.35">
      <c r="M7360" s="11"/>
    </row>
    <row r="7361" spans="13:13" x14ac:dyDescent="0.35">
      <c r="M7361" s="11"/>
    </row>
    <row r="7362" spans="13:13" x14ac:dyDescent="0.35">
      <c r="M7362" s="11"/>
    </row>
    <row r="7363" spans="13:13" x14ac:dyDescent="0.35">
      <c r="M7363" s="11"/>
    </row>
    <row r="7364" spans="13:13" x14ac:dyDescent="0.35">
      <c r="M7364" s="11"/>
    </row>
    <row r="7365" spans="13:13" x14ac:dyDescent="0.35">
      <c r="M7365" s="11"/>
    </row>
    <row r="7366" spans="13:13" x14ac:dyDescent="0.35">
      <c r="M7366" s="11"/>
    </row>
    <row r="7367" spans="13:13" x14ac:dyDescent="0.35">
      <c r="M7367" s="11"/>
    </row>
    <row r="7368" spans="13:13" x14ac:dyDescent="0.35">
      <c r="M7368" s="11"/>
    </row>
    <row r="7369" spans="13:13" x14ac:dyDescent="0.35">
      <c r="M7369" s="11"/>
    </row>
    <row r="7370" spans="13:13" x14ac:dyDescent="0.35">
      <c r="M7370" s="11"/>
    </row>
    <row r="7371" spans="13:13" x14ac:dyDescent="0.35">
      <c r="M7371" s="11"/>
    </row>
    <row r="7372" spans="13:13" x14ac:dyDescent="0.35">
      <c r="M7372" s="11"/>
    </row>
    <row r="7373" spans="13:13" x14ac:dyDescent="0.35">
      <c r="M7373" s="11"/>
    </row>
    <row r="7374" spans="13:13" x14ac:dyDescent="0.35">
      <c r="M7374" s="11"/>
    </row>
    <row r="7375" spans="13:13" x14ac:dyDescent="0.35">
      <c r="M7375" s="11"/>
    </row>
    <row r="7376" spans="13:13" x14ac:dyDescent="0.35">
      <c r="M7376" s="11"/>
    </row>
    <row r="7377" spans="13:13" x14ac:dyDescent="0.35">
      <c r="M7377" s="11"/>
    </row>
    <row r="7378" spans="13:13" x14ac:dyDescent="0.35">
      <c r="M7378" s="11"/>
    </row>
    <row r="7379" spans="13:13" x14ac:dyDescent="0.35">
      <c r="M7379" s="11"/>
    </row>
    <row r="7380" spans="13:13" x14ac:dyDescent="0.35">
      <c r="M7380" s="11"/>
    </row>
    <row r="7381" spans="13:13" x14ac:dyDescent="0.35">
      <c r="M7381" s="11"/>
    </row>
    <row r="7382" spans="13:13" x14ac:dyDescent="0.35">
      <c r="M7382" s="11"/>
    </row>
    <row r="7383" spans="13:13" x14ac:dyDescent="0.35">
      <c r="M7383" s="11"/>
    </row>
    <row r="7384" spans="13:13" x14ac:dyDescent="0.35">
      <c r="M7384" s="11"/>
    </row>
    <row r="7385" spans="13:13" x14ac:dyDescent="0.35">
      <c r="M7385" s="11"/>
    </row>
    <row r="7386" spans="13:13" x14ac:dyDescent="0.35">
      <c r="M7386" s="11"/>
    </row>
    <row r="7387" spans="13:13" x14ac:dyDescent="0.35">
      <c r="M7387" s="11"/>
    </row>
    <row r="7388" spans="13:13" x14ac:dyDescent="0.35">
      <c r="M7388" s="11"/>
    </row>
    <row r="7389" spans="13:13" x14ac:dyDescent="0.35">
      <c r="M7389" s="11"/>
    </row>
    <row r="7390" spans="13:13" x14ac:dyDescent="0.35">
      <c r="M7390" s="11"/>
    </row>
    <row r="7391" spans="13:13" x14ac:dyDescent="0.35">
      <c r="M7391" s="11"/>
    </row>
    <row r="7392" spans="13:13" x14ac:dyDescent="0.35">
      <c r="M7392" s="11"/>
    </row>
    <row r="7393" spans="13:13" x14ac:dyDescent="0.35">
      <c r="M7393" s="11"/>
    </row>
    <row r="7394" spans="13:13" x14ac:dyDescent="0.35">
      <c r="M7394" s="11"/>
    </row>
    <row r="7395" spans="13:13" x14ac:dyDescent="0.35">
      <c r="M7395" s="11"/>
    </row>
    <row r="7396" spans="13:13" x14ac:dyDescent="0.35">
      <c r="M7396" s="11"/>
    </row>
    <row r="7397" spans="13:13" x14ac:dyDescent="0.35">
      <c r="M7397" s="11"/>
    </row>
    <row r="7398" spans="13:13" x14ac:dyDescent="0.35">
      <c r="M7398" s="11"/>
    </row>
    <row r="7399" spans="13:13" x14ac:dyDescent="0.35">
      <c r="M7399" s="11"/>
    </row>
    <row r="7400" spans="13:13" x14ac:dyDescent="0.35">
      <c r="M7400" s="11"/>
    </row>
    <row r="7401" spans="13:13" x14ac:dyDescent="0.35">
      <c r="M7401" s="11"/>
    </row>
    <row r="7402" spans="13:13" x14ac:dyDescent="0.35">
      <c r="M7402" s="11"/>
    </row>
    <row r="7403" spans="13:13" x14ac:dyDescent="0.35">
      <c r="M7403" s="11"/>
    </row>
    <row r="7404" spans="13:13" x14ac:dyDescent="0.35">
      <c r="M7404" s="11"/>
    </row>
    <row r="7405" spans="13:13" x14ac:dyDescent="0.35">
      <c r="M7405" s="11"/>
    </row>
    <row r="7406" spans="13:13" x14ac:dyDescent="0.35">
      <c r="M7406" s="11"/>
    </row>
    <row r="7407" spans="13:13" x14ac:dyDescent="0.35">
      <c r="M7407" s="11"/>
    </row>
    <row r="7408" spans="13:13" x14ac:dyDescent="0.35">
      <c r="M7408" s="11"/>
    </row>
    <row r="7409" spans="13:13" x14ac:dyDescent="0.35">
      <c r="M7409" s="11"/>
    </row>
    <row r="7410" spans="13:13" x14ac:dyDescent="0.35">
      <c r="M7410" s="11"/>
    </row>
    <row r="7411" spans="13:13" x14ac:dyDescent="0.35">
      <c r="M7411" s="11"/>
    </row>
    <row r="7412" spans="13:13" x14ac:dyDescent="0.35">
      <c r="M7412" s="11"/>
    </row>
    <row r="7413" spans="13:13" x14ac:dyDescent="0.35">
      <c r="M7413" s="11"/>
    </row>
    <row r="7414" spans="13:13" x14ac:dyDescent="0.35">
      <c r="M7414" s="11"/>
    </row>
    <row r="7415" spans="13:13" x14ac:dyDescent="0.35">
      <c r="M7415" s="11"/>
    </row>
    <row r="7416" spans="13:13" x14ac:dyDescent="0.35">
      <c r="M7416" s="11"/>
    </row>
    <row r="7417" spans="13:13" x14ac:dyDescent="0.35">
      <c r="M7417" s="11"/>
    </row>
    <row r="7418" spans="13:13" x14ac:dyDescent="0.35">
      <c r="M7418" s="11"/>
    </row>
    <row r="7419" spans="13:13" x14ac:dyDescent="0.35">
      <c r="M7419" s="11"/>
    </row>
    <row r="7420" spans="13:13" x14ac:dyDescent="0.35">
      <c r="M7420" s="11"/>
    </row>
    <row r="7421" spans="13:13" x14ac:dyDescent="0.35">
      <c r="M7421" s="11"/>
    </row>
    <row r="7422" spans="13:13" x14ac:dyDescent="0.35">
      <c r="M7422" s="11"/>
    </row>
    <row r="7423" spans="13:13" x14ac:dyDescent="0.35">
      <c r="M7423" s="11"/>
    </row>
    <row r="7424" spans="13:13" x14ac:dyDescent="0.35">
      <c r="M7424" s="11"/>
    </row>
    <row r="7425" spans="13:13" x14ac:dyDescent="0.35">
      <c r="M7425" s="11"/>
    </row>
    <row r="7426" spans="13:13" x14ac:dyDescent="0.35">
      <c r="M7426" s="11"/>
    </row>
    <row r="7427" spans="13:13" x14ac:dyDescent="0.35">
      <c r="M7427" s="11"/>
    </row>
    <row r="7428" spans="13:13" x14ac:dyDescent="0.35">
      <c r="M7428" s="11"/>
    </row>
    <row r="7429" spans="13:13" x14ac:dyDescent="0.35">
      <c r="M7429" s="11"/>
    </row>
    <row r="7430" spans="13:13" x14ac:dyDescent="0.35">
      <c r="M7430" s="11"/>
    </row>
    <row r="7431" spans="13:13" x14ac:dyDescent="0.35">
      <c r="M7431" s="11"/>
    </row>
    <row r="7432" spans="13:13" x14ac:dyDescent="0.35">
      <c r="M7432" s="11"/>
    </row>
    <row r="7433" spans="13:13" x14ac:dyDescent="0.35">
      <c r="M7433" s="11"/>
    </row>
    <row r="7434" spans="13:13" x14ac:dyDescent="0.35">
      <c r="M7434" s="11"/>
    </row>
    <row r="7435" spans="13:13" x14ac:dyDescent="0.35">
      <c r="M7435" s="11"/>
    </row>
    <row r="7436" spans="13:13" x14ac:dyDescent="0.35">
      <c r="M7436" s="11"/>
    </row>
    <row r="7437" spans="13:13" x14ac:dyDescent="0.35">
      <c r="M7437" s="11"/>
    </row>
    <row r="7438" spans="13:13" x14ac:dyDescent="0.35">
      <c r="M7438" s="11"/>
    </row>
    <row r="7439" spans="13:13" x14ac:dyDescent="0.35">
      <c r="M7439" s="11"/>
    </row>
    <row r="7440" spans="13:13" x14ac:dyDescent="0.35">
      <c r="M7440" s="11"/>
    </row>
    <row r="7441" spans="13:13" x14ac:dyDescent="0.35">
      <c r="M7441" s="11"/>
    </row>
    <row r="7442" spans="13:13" x14ac:dyDescent="0.35">
      <c r="M7442" s="11"/>
    </row>
    <row r="7443" spans="13:13" x14ac:dyDescent="0.35">
      <c r="M7443" s="11"/>
    </row>
    <row r="7444" spans="13:13" x14ac:dyDescent="0.35">
      <c r="M7444" s="11"/>
    </row>
    <row r="7445" spans="13:13" x14ac:dyDescent="0.35">
      <c r="M7445" s="11"/>
    </row>
    <row r="7446" spans="13:13" x14ac:dyDescent="0.35">
      <c r="M7446" s="11"/>
    </row>
    <row r="7447" spans="13:13" x14ac:dyDescent="0.35">
      <c r="M7447" s="11"/>
    </row>
    <row r="7448" spans="13:13" x14ac:dyDescent="0.35">
      <c r="M7448" s="11"/>
    </row>
    <row r="7449" spans="13:13" x14ac:dyDescent="0.35">
      <c r="M7449" s="11"/>
    </row>
    <row r="7450" spans="13:13" x14ac:dyDescent="0.35">
      <c r="M7450" s="11"/>
    </row>
    <row r="7451" spans="13:13" x14ac:dyDescent="0.35">
      <c r="M7451" s="11"/>
    </row>
    <row r="7452" spans="13:13" x14ac:dyDescent="0.35">
      <c r="M7452" s="11"/>
    </row>
    <row r="7453" spans="13:13" x14ac:dyDescent="0.35">
      <c r="M7453" s="11"/>
    </row>
    <row r="7454" spans="13:13" x14ac:dyDescent="0.35">
      <c r="M7454" s="11"/>
    </row>
    <row r="7455" spans="13:13" x14ac:dyDescent="0.35">
      <c r="M7455" s="11"/>
    </row>
    <row r="7456" spans="13:13" x14ac:dyDescent="0.35">
      <c r="M7456" s="11"/>
    </row>
    <row r="7457" spans="13:13" x14ac:dyDescent="0.35">
      <c r="M7457" s="11"/>
    </row>
    <row r="7458" spans="13:13" x14ac:dyDescent="0.35">
      <c r="M7458" s="11"/>
    </row>
    <row r="7459" spans="13:13" x14ac:dyDescent="0.35">
      <c r="M7459" s="11"/>
    </row>
    <row r="7460" spans="13:13" x14ac:dyDescent="0.35">
      <c r="M7460" s="11"/>
    </row>
    <row r="7461" spans="13:13" x14ac:dyDescent="0.35">
      <c r="M7461" s="11"/>
    </row>
    <row r="7462" spans="13:13" x14ac:dyDescent="0.35">
      <c r="M7462" s="11"/>
    </row>
    <row r="7463" spans="13:13" x14ac:dyDescent="0.35">
      <c r="M7463" s="11"/>
    </row>
    <row r="7464" spans="13:13" x14ac:dyDescent="0.35">
      <c r="M7464" s="11"/>
    </row>
    <row r="7465" spans="13:13" x14ac:dyDescent="0.35">
      <c r="M7465" s="11"/>
    </row>
    <row r="7466" spans="13:13" x14ac:dyDescent="0.35">
      <c r="M7466" s="11"/>
    </row>
    <row r="7467" spans="13:13" x14ac:dyDescent="0.35">
      <c r="M7467" s="11"/>
    </row>
    <row r="7468" spans="13:13" x14ac:dyDescent="0.35">
      <c r="M7468" s="11"/>
    </row>
    <row r="7469" spans="13:13" x14ac:dyDescent="0.35">
      <c r="M7469" s="11"/>
    </row>
    <row r="7470" spans="13:13" x14ac:dyDescent="0.35">
      <c r="M7470" s="11"/>
    </row>
    <row r="7471" spans="13:13" x14ac:dyDescent="0.35">
      <c r="M7471" s="11"/>
    </row>
    <row r="7472" spans="13:13" x14ac:dyDescent="0.35">
      <c r="M7472" s="11"/>
    </row>
    <row r="7473" spans="13:13" x14ac:dyDescent="0.35">
      <c r="M7473" s="11"/>
    </row>
    <row r="7474" spans="13:13" x14ac:dyDescent="0.35">
      <c r="M7474" s="11"/>
    </row>
    <row r="7475" spans="13:13" x14ac:dyDescent="0.35">
      <c r="M7475" s="11"/>
    </row>
    <row r="7476" spans="13:13" x14ac:dyDescent="0.35">
      <c r="M7476" s="11"/>
    </row>
    <row r="7477" spans="13:13" x14ac:dyDescent="0.35">
      <c r="M7477" s="11"/>
    </row>
    <row r="7478" spans="13:13" x14ac:dyDescent="0.35">
      <c r="M7478" s="11"/>
    </row>
    <row r="7479" spans="13:13" x14ac:dyDescent="0.35">
      <c r="M7479" s="11"/>
    </row>
    <row r="7480" spans="13:13" x14ac:dyDescent="0.35">
      <c r="M7480" s="11"/>
    </row>
    <row r="7481" spans="13:13" x14ac:dyDescent="0.35">
      <c r="M7481" s="11"/>
    </row>
    <row r="7482" spans="13:13" x14ac:dyDescent="0.35">
      <c r="M7482" s="11"/>
    </row>
    <row r="7483" spans="13:13" x14ac:dyDescent="0.35">
      <c r="M7483" s="11"/>
    </row>
    <row r="7484" spans="13:13" x14ac:dyDescent="0.35">
      <c r="M7484" s="11"/>
    </row>
    <row r="7485" spans="13:13" x14ac:dyDescent="0.35">
      <c r="M7485" s="11"/>
    </row>
    <row r="7486" spans="13:13" x14ac:dyDescent="0.35">
      <c r="M7486" s="11"/>
    </row>
    <row r="7487" spans="13:13" x14ac:dyDescent="0.35">
      <c r="M7487" s="11"/>
    </row>
    <row r="7488" spans="13:13" x14ac:dyDescent="0.35">
      <c r="M7488" s="11"/>
    </row>
    <row r="7489" spans="13:13" x14ac:dyDescent="0.35">
      <c r="M7489" s="11"/>
    </row>
    <row r="7490" spans="13:13" x14ac:dyDescent="0.35">
      <c r="M7490" s="11"/>
    </row>
    <row r="7491" spans="13:13" x14ac:dyDescent="0.35">
      <c r="M7491" s="11"/>
    </row>
    <row r="7492" spans="13:13" x14ac:dyDescent="0.35">
      <c r="M7492" s="11"/>
    </row>
    <row r="7493" spans="13:13" x14ac:dyDescent="0.35">
      <c r="M7493" s="11"/>
    </row>
    <row r="7494" spans="13:13" x14ac:dyDescent="0.35">
      <c r="M7494" s="11"/>
    </row>
    <row r="7495" spans="13:13" x14ac:dyDescent="0.35">
      <c r="M7495" s="11"/>
    </row>
    <row r="7496" spans="13:13" x14ac:dyDescent="0.35">
      <c r="M7496" s="11"/>
    </row>
    <row r="7497" spans="13:13" x14ac:dyDescent="0.35">
      <c r="M7497" s="11"/>
    </row>
    <row r="7498" spans="13:13" x14ac:dyDescent="0.35">
      <c r="M7498" s="11"/>
    </row>
    <row r="7499" spans="13:13" x14ac:dyDescent="0.35">
      <c r="M7499" s="11"/>
    </row>
    <row r="7500" spans="13:13" x14ac:dyDescent="0.35">
      <c r="M7500" s="11"/>
    </row>
    <row r="7501" spans="13:13" x14ac:dyDescent="0.35">
      <c r="M7501" s="11"/>
    </row>
    <row r="7502" spans="13:13" x14ac:dyDescent="0.35">
      <c r="M7502" s="11"/>
    </row>
    <row r="7503" spans="13:13" x14ac:dyDescent="0.35">
      <c r="M7503" s="11"/>
    </row>
    <row r="7504" spans="13:13" x14ac:dyDescent="0.35">
      <c r="M7504" s="11"/>
    </row>
    <row r="7505" spans="13:13" x14ac:dyDescent="0.35">
      <c r="M7505" s="11"/>
    </row>
    <row r="7506" spans="13:13" x14ac:dyDescent="0.35">
      <c r="M7506" s="11"/>
    </row>
    <row r="7507" spans="13:13" x14ac:dyDescent="0.35">
      <c r="M7507" s="11"/>
    </row>
    <row r="7508" spans="13:13" x14ac:dyDescent="0.35">
      <c r="M7508" s="11"/>
    </row>
    <row r="7509" spans="13:13" x14ac:dyDescent="0.35">
      <c r="M7509" s="11"/>
    </row>
    <row r="7510" spans="13:13" x14ac:dyDescent="0.35">
      <c r="M7510" s="11"/>
    </row>
    <row r="7511" spans="13:13" x14ac:dyDescent="0.35">
      <c r="M7511" s="11"/>
    </row>
    <row r="7512" spans="13:13" x14ac:dyDescent="0.35">
      <c r="M7512" s="11"/>
    </row>
    <row r="7513" spans="13:13" x14ac:dyDescent="0.35">
      <c r="M7513" s="11"/>
    </row>
    <row r="7514" spans="13:13" x14ac:dyDescent="0.35">
      <c r="M7514" s="11"/>
    </row>
    <row r="7515" spans="13:13" x14ac:dyDescent="0.35">
      <c r="M7515" s="11"/>
    </row>
    <row r="7516" spans="13:13" x14ac:dyDescent="0.35">
      <c r="M7516" s="11"/>
    </row>
    <row r="7517" spans="13:13" x14ac:dyDescent="0.35">
      <c r="M7517" s="11"/>
    </row>
    <row r="7518" spans="13:13" x14ac:dyDescent="0.35">
      <c r="M7518" s="11"/>
    </row>
    <row r="7519" spans="13:13" x14ac:dyDescent="0.35">
      <c r="M7519" s="11"/>
    </row>
    <row r="7520" spans="13:13" x14ac:dyDescent="0.35">
      <c r="M7520" s="11"/>
    </row>
    <row r="7521" spans="13:13" x14ac:dyDescent="0.35">
      <c r="M7521" s="11"/>
    </row>
    <row r="7522" spans="13:13" x14ac:dyDescent="0.35">
      <c r="M7522" s="11"/>
    </row>
    <row r="7523" spans="13:13" x14ac:dyDescent="0.35">
      <c r="M7523" s="11"/>
    </row>
    <row r="7524" spans="13:13" x14ac:dyDescent="0.35">
      <c r="M7524" s="11"/>
    </row>
    <row r="7525" spans="13:13" x14ac:dyDescent="0.35">
      <c r="M7525" s="11"/>
    </row>
    <row r="7526" spans="13:13" x14ac:dyDescent="0.35">
      <c r="M7526" s="11"/>
    </row>
    <row r="7527" spans="13:13" x14ac:dyDescent="0.35">
      <c r="M7527" s="11"/>
    </row>
    <row r="7528" spans="13:13" x14ac:dyDescent="0.35">
      <c r="M7528" s="11"/>
    </row>
    <row r="7529" spans="13:13" x14ac:dyDescent="0.35">
      <c r="M7529" s="11"/>
    </row>
    <row r="7530" spans="13:13" x14ac:dyDescent="0.35">
      <c r="M7530" s="11"/>
    </row>
    <row r="7531" spans="13:13" x14ac:dyDescent="0.35">
      <c r="M7531" s="11"/>
    </row>
    <row r="7532" spans="13:13" x14ac:dyDescent="0.35">
      <c r="M7532" s="11"/>
    </row>
    <row r="7533" spans="13:13" x14ac:dyDescent="0.35">
      <c r="M7533" s="11"/>
    </row>
    <row r="7534" spans="13:13" x14ac:dyDescent="0.35">
      <c r="M7534" s="11"/>
    </row>
    <row r="7535" spans="13:13" x14ac:dyDescent="0.35">
      <c r="M7535" s="11"/>
    </row>
    <row r="7536" spans="13:13" x14ac:dyDescent="0.35">
      <c r="M7536" s="11"/>
    </row>
    <row r="7537" spans="13:13" x14ac:dyDescent="0.35">
      <c r="M7537" s="11"/>
    </row>
    <row r="7538" spans="13:13" x14ac:dyDescent="0.35">
      <c r="M7538" s="11"/>
    </row>
    <row r="7539" spans="13:13" x14ac:dyDescent="0.35">
      <c r="M7539" s="11"/>
    </row>
    <row r="7540" spans="13:13" x14ac:dyDescent="0.35">
      <c r="M7540" s="11"/>
    </row>
    <row r="7541" spans="13:13" x14ac:dyDescent="0.35">
      <c r="M7541" s="11"/>
    </row>
    <row r="7542" spans="13:13" x14ac:dyDescent="0.35">
      <c r="M7542" s="11"/>
    </row>
    <row r="7543" spans="13:13" x14ac:dyDescent="0.35">
      <c r="M7543" s="11"/>
    </row>
    <row r="7544" spans="13:13" x14ac:dyDescent="0.35">
      <c r="M7544" s="11"/>
    </row>
    <row r="7545" spans="13:13" x14ac:dyDescent="0.35">
      <c r="M7545" s="11"/>
    </row>
    <row r="7546" spans="13:13" x14ac:dyDescent="0.35">
      <c r="M7546" s="11"/>
    </row>
    <row r="7547" spans="13:13" x14ac:dyDescent="0.35">
      <c r="M7547" s="11"/>
    </row>
    <row r="7548" spans="13:13" x14ac:dyDescent="0.35">
      <c r="M7548" s="11"/>
    </row>
    <row r="7549" spans="13:13" x14ac:dyDescent="0.35">
      <c r="M7549" s="11"/>
    </row>
    <row r="7550" spans="13:13" x14ac:dyDescent="0.35">
      <c r="M7550" s="11"/>
    </row>
    <row r="7551" spans="13:13" x14ac:dyDescent="0.35">
      <c r="M7551" s="11"/>
    </row>
    <row r="7552" spans="13:13" x14ac:dyDescent="0.35">
      <c r="M7552" s="11"/>
    </row>
    <row r="7553" spans="13:13" x14ac:dyDescent="0.35">
      <c r="M7553" s="11"/>
    </row>
    <row r="7554" spans="13:13" x14ac:dyDescent="0.35">
      <c r="M7554" s="11"/>
    </row>
    <row r="7555" spans="13:13" x14ac:dyDescent="0.35">
      <c r="M7555" s="11"/>
    </row>
    <row r="7556" spans="13:13" x14ac:dyDescent="0.35">
      <c r="M7556" s="11"/>
    </row>
    <row r="7557" spans="13:13" x14ac:dyDescent="0.35">
      <c r="M7557" s="11"/>
    </row>
    <row r="7558" spans="13:13" x14ac:dyDescent="0.35">
      <c r="M7558" s="11"/>
    </row>
    <row r="7559" spans="13:13" x14ac:dyDescent="0.35">
      <c r="M7559" s="11"/>
    </row>
    <row r="7560" spans="13:13" x14ac:dyDescent="0.35">
      <c r="M7560" s="11"/>
    </row>
    <row r="7561" spans="13:13" x14ac:dyDescent="0.35">
      <c r="M7561" s="11"/>
    </row>
    <row r="7562" spans="13:13" x14ac:dyDescent="0.35">
      <c r="M7562" s="11"/>
    </row>
    <row r="7563" spans="13:13" x14ac:dyDescent="0.35">
      <c r="M7563" s="11"/>
    </row>
    <row r="7564" spans="13:13" x14ac:dyDescent="0.35">
      <c r="M7564" s="11"/>
    </row>
    <row r="7565" spans="13:13" x14ac:dyDescent="0.35">
      <c r="M7565" s="11"/>
    </row>
    <row r="7566" spans="13:13" x14ac:dyDescent="0.35">
      <c r="M7566" s="11"/>
    </row>
    <row r="7567" spans="13:13" x14ac:dyDescent="0.35">
      <c r="M7567" s="11"/>
    </row>
    <row r="7568" spans="13:13" x14ac:dyDescent="0.35">
      <c r="M7568" s="11"/>
    </row>
    <row r="7569" spans="13:13" x14ac:dyDescent="0.35">
      <c r="M7569" s="11"/>
    </row>
    <row r="7570" spans="13:13" x14ac:dyDescent="0.35">
      <c r="M7570" s="11"/>
    </row>
    <row r="7571" spans="13:13" x14ac:dyDescent="0.35">
      <c r="M7571" s="11"/>
    </row>
    <row r="7572" spans="13:13" x14ac:dyDescent="0.35">
      <c r="M7572" s="11"/>
    </row>
    <row r="7573" spans="13:13" x14ac:dyDescent="0.35">
      <c r="M7573" s="11"/>
    </row>
    <row r="7574" spans="13:13" x14ac:dyDescent="0.35">
      <c r="M7574" s="11"/>
    </row>
    <row r="7575" spans="13:13" x14ac:dyDescent="0.35">
      <c r="M7575" s="11"/>
    </row>
    <row r="7576" spans="13:13" x14ac:dyDescent="0.35">
      <c r="M7576" s="11"/>
    </row>
    <row r="7577" spans="13:13" x14ac:dyDescent="0.35">
      <c r="M7577" s="11"/>
    </row>
    <row r="7578" spans="13:13" x14ac:dyDescent="0.35">
      <c r="M7578" s="11"/>
    </row>
    <row r="7579" spans="13:13" x14ac:dyDescent="0.35">
      <c r="M7579" s="11"/>
    </row>
    <row r="7580" spans="13:13" x14ac:dyDescent="0.35">
      <c r="M7580" s="11"/>
    </row>
    <row r="7581" spans="13:13" x14ac:dyDescent="0.35">
      <c r="M7581" s="11"/>
    </row>
    <row r="7582" spans="13:13" x14ac:dyDescent="0.35">
      <c r="M7582" s="11"/>
    </row>
    <row r="7583" spans="13:13" x14ac:dyDescent="0.35">
      <c r="M7583" s="11"/>
    </row>
    <row r="7584" spans="13:13" x14ac:dyDescent="0.35">
      <c r="M7584" s="11"/>
    </row>
    <row r="7585" spans="13:13" x14ac:dyDescent="0.35">
      <c r="M7585" s="11"/>
    </row>
    <row r="7586" spans="13:13" x14ac:dyDescent="0.35">
      <c r="M7586" s="11"/>
    </row>
    <row r="7587" spans="13:13" x14ac:dyDescent="0.35">
      <c r="M7587" s="11"/>
    </row>
    <row r="7588" spans="13:13" x14ac:dyDescent="0.35">
      <c r="M7588" s="11"/>
    </row>
    <row r="7589" spans="13:13" x14ac:dyDescent="0.35">
      <c r="M7589" s="11"/>
    </row>
    <row r="7590" spans="13:13" x14ac:dyDescent="0.35">
      <c r="M7590" s="11"/>
    </row>
    <row r="7591" spans="13:13" x14ac:dyDescent="0.35">
      <c r="M7591" s="11"/>
    </row>
    <row r="7592" spans="13:13" x14ac:dyDescent="0.35">
      <c r="M7592" s="11"/>
    </row>
    <row r="7593" spans="13:13" x14ac:dyDescent="0.35">
      <c r="M7593" s="11"/>
    </row>
    <row r="7594" spans="13:13" x14ac:dyDescent="0.35">
      <c r="M7594" s="11"/>
    </row>
    <row r="7595" spans="13:13" x14ac:dyDescent="0.35">
      <c r="M7595" s="11"/>
    </row>
    <row r="7596" spans="13:13" x14ac:dyDescent="0.35">
      <c r="M7596" s="11"/>
    </row>
    <row r="7597" spans="13:13" x14ac:dyDescent="0.35">
      <c r="M7597" s="11"/>
    </row>
    <row r="7598" spans="13:13" x14ac:dyDescent="0.35">
      <c r="M7598" s="11"/>
    </row>
    <row r="7599" spans="13:13" x14ac:dyDescent="0.35">
      <c r="M7599" s="11"/>
    </row>
    <row r="7600" spans="13:13" x14ac:dyDescent="0.35">
      <c r="M7600" s="11"/>
    </row>
    <row r="7601" spans="13:13" x14ac:dyDescent="0.35">
      <c r="M7601" s="11"/>
    </row>
    <row r="7602" spans="13:13" x14ac:dyDescent="0.35">
      <c r="M7602" s="11"/>
    </row>
    <row r="7603" spans="13:13" x14ac:dyDescent="0.35">
      <c r="M7603" s="11"/>
    </row>
    <row r="7604" spans="13:13" x14ac:dyDescent="0.35">
      <c r="M7604" s="11"/>
    </row>
    <row r="7605" spans="13:13" x14ac:dyDescent="0.35">
      <c r="M7605" s="11"/>
    </row>
    <row r="7606" spans="13:13" x14ac:dyDescent="0.35">
      <c r="M7606" s="11"/>
    </row>
    <row r="7607" spans="13:13" x14ac:dyDescent="0.35">
      <c r="M7607" s="11"/>
    </row>
    <row r="7608" spans="13:13" x14ac:dyDescent="0.35">
      <c r="M7608" s="11"/>
    </row>
    <row r="7609" spans="13:13" x14ac:dyDescent="0.35">
      <c r="M7609" s="11"/>
    </row>
    <row r="7610" spans="13:13" x14ac:dyDescent="0.35">
      <c r="M7610" s="11"/>
    </row>
    <row r="7611" spans="13:13" x14ac:dyDescent="0.35">
      <c r="M7611" s="11"/>
    </row>
    <row r="7612" spans="13:13" x14ac:dyDescent="0.35">
      <c r="M7612" s="11"/>
    </row>
    <row r="7613" spans="13:13" x14ac:dyDescent="0.35">
      <c r="M7613" s="11"/>
    </row>
    <row r="7614" spans="13:13" x14ac:dyDescent="0.35">
      <c r="M7614" s="11"/>
    </row>
    <row r="7615" spans="13:13" x14ac:dyDescent="0.35">
      <c r="M7615" s="11"/>
    </row>
    <row r="7616" spans="13:13" x14ac:dyDescent="0.35">
      <c r="M7616" s="11"/>
    </row>
    <row r="7617" spans="13:13" x14ac:dyDescent="0.35">
      <c r="M7617" s="11"/>
    </row>
    <row r="7618" spans="13:13" x14ac:dyDescent="0.35">
      <c r="M7618" s="11"/>
    </row>
    <row r="7619" spans="13:13" x14ac:dyDescent="0.35">
      <c r="M7619" s="11"/>
    </row>
    <row r="7620" spans="13:13" x14ac:dyDescent="0.35">
      <c r="M7620" s="11"/>
    </row>
    <row r="7621" spans="13:13" x14ac:dyDescent="0.35">
      <c r="M7621" s="11"/>
    </row>
    <row r="7622" spans="13:13" x14ac:dyDescent="0.35">
      <c r="M7622" s="11"/>
    </row>
    <row r="7623" spans="13:13" x14ac:dyDescent="0.35">
      <c r="M7623" s="11"/>
    </row>
    <row r="7624" spans="13:13" x14ac:dyDescent="0.35">
      <c r="M7624" s="11"/>
    </row>
    <row r="7625" spans="13:13" x14ac:dyDescent="0.35">
      <c r="M7625" s="11"/>
    </row>
    <row r="7626" spans="13:13" x14ac:dyDescent="0.35">
      <c r="M7626" s="11"/>
    </row>
    <row r="7627" spans="13:13" x14ac:dyDescent="0.35">
      <c r="M7627" s="11"/>
    </row>
    <row r="7628" spans="13:13" x14ac:dyDescent="0.35">
      <c r="M7628" s="11"/>
    </row>
    <row r="7629" spans="13:13" x14ac:dyDescent="0.35">
      <c r="M7629" s="11"/>
    </row>
    <row r="7630" spans="13:13" x14ac:dyDescent="0.35">
      <c r="M7630" s="11"/>
    </row>
    <row r="7631" spans="13:13" x14ac:dyDescent="0.35">
      <c r="M7631" s="11"/>
    </row>
    <row r="7632" spans="13:13" x14ac:dyDescent="0.35">
      <c r="M7632" s="11"/>
    </row>
    <row r="7633" spans="13:13" x14ac:dyDescent="0.35">
      <c r="M7633" s="11"/>
    </row>
    <row r="7634" spans="13:13" x14ac:dyDescent="0.35">
      <c r="M7634" s="11"/>
    </row>
    <row r="7635" spans="13:13" x14ac:dyDescent="0.35">
      <c r="M7635" s="11"/>
    </row>
    <row r="7636" spans="13:13" x14ac:dyDescent="0.35">
      <c r="M7636" s="11"/>
    </row>
    <row r="7637" spans="13:13" x14ac:dyDescent="0.35">
      <c r="M7637" s="11"/>
    </row>
    <row r="7638" spans="13:13" x14ac:dyDescent="0.35">
      <c r="M7638" s="11"/>
    </row>
    <row r="7639" spans="13:13" x14ac:dyDescent="0.35">
      <c r="M7639" s="11"/>
    </row>
    <row r="7640" spans="13:13" x14ac:dyDescent="0.35">
      <c r="M7640" s="11"/>
    </row>
    <row r="7641" spans="13:13" x14ac:dyDescent="0.35">
      <c r="M7641" s="11"/>
    </row>
    <row r="7642" spans="13:13" x14ac:dyDescent="0.35">
      <c r="M7642" s="11"/>
    </row>
    <row r="7643" spans="13:13" x14ac:dyDescent="0.35">
      <c r="M7643" s="11"/>
    </row>
    <row r="7644" spans="13:13" x14ac:dyDescent="0.35">
      <c r="M7644" s="11"/>
    </row>
    <row r="7645" spans="13:13" x14ac:dyDescent="0.35">
      <c r="M7645" s="11"/>
    </row>
    <row r="7646" spans="13:13" x14ac:dyDescent="0.35">
      <c r="M7646" s="11"/>
    </row>
    <row r="7647" spans="13:13" x14ac:dyDescent="0.35">
      <c r="M7647" s="11"/>
    </row>
    <row r="7648" spans="13:13" x14ac:dyDescent="0.35">
      <c r="M7648" s="11"/>
    </row>
    <row r="7649" spans="13:13" x14ac:dyDescent="0.35">
      <c r="M7649" s="11"/>
    </row>
    <row r="7650" spans="13:13" x14ac:dyDescent="0.35">
      <c r="M7650" s="11"/>
    </row>
    <row r="7651" spans="13:13" x14ac:dyDescent="0.35">
      <c r="M7651" s="11"/>
    </row>
    <row r="7652" spans="13:13" x14ac:dyDescent="0.35">
      <c r="M7652" s="11"/>
    </row>
    <row r="7653" spans="13:13" x14ac:dyDescent="0.35">
      <c r="M7653" s="11"/>
    </row>
    <row r="7654" spans="13:13" x14ac:dyDescent="0.35">
      <c r="M7654" s="11"/>
    </row>
    <row r="7655" spans="13:13" x14ac:dyDescent="0.35">
      <c r="M7655" s="11"/>
    </row>
    <row r="7656" spans="13:13" x14ac:dyDescent="0.35">
      <c r="M7656" s="11"/>
    </row>
    <row r="7657" spans="13:13" x14ac:dyDescent="0.35">
      <c r="M7657" s="11"/>
    </row>
    <row r="7658" spans="13:13" x14ac:dyDescent="0.35">
      <c r="M7658" s="11"/>
    </row>
    <row r="7659" spans="13:13" x14ac:dyDescent="0.35">
      <c r="M7659" s="11"/>
    </row>
    <row r="7660" spans="13:13" x14ac:dyDescent="0.35">
      <c r="M7660" s="11"/>
    </row>
    <row r="7661" spans="13:13" x14ac:dyDescent="0.35">
      <c r="M7661" s="11"/>
    </row>
    <row r="7662" spans="13:13" x14ac:dyDescent="0.35">
      <c r="M7662" s="11"/>
    </row>
    <row r="7663" spans="13:13" x14ac:dyDescent="0.35">
      <c r="M7663" s="11"/>
    </row>
    <row r="7664" spans="13:13" x14ac:dyDescent="0.35">
      <c r="M7664" s="11"/>
    </row>
    <row r="7665" spans="13:13" x14ac:dyDescent="0.35">
      <c r="M7665" s="11"/>
    </row>
    <row r="7666" spans="13:13" x14ac:dyDescent="0.35">
      <c r="M7666" s="11"/>
    </row>
    <row r="7667" spans="13:13" x14ac:dyDescent="0.35">
      <c r="M7667" s="11"/>
    </row>
    <row r="7668" spans="13:13" x14ac:dyDescent="0.35">
      <c r="M7668" s="11"/>
    </row>
    <row r="7669" spans="13:13" x14ac:dyDescent="0.35">
      <c r="M7669" s="11"/>
    </row>
    <row r="7670" spans="13:13" x14ac:dyDescent="0.35">
      <c r="M7670" s="11"/>
    </row>
    <row r="7671" spans="13:13" x14ac:dyDescent="0.35">
      <c r="M7671" s="11"/>
    </row>
    <row r="7672" spans="13:13" x14ac:dyDescent="0.35">
      <c r="M7672" s="11"/>
    </row>
    <row r="7673" spans="13:13" x14ac:dyDescent="0.35">
      <c r="M7673" s="11"/>
    </row>
    <row r="7674" spans="13:13" x14ac:dyDescent="0.35">
      <c r="M7674" s="11"/>
    </row>
    <row r="7675" spans="13:13" x14ac:dyDescent="0.35">
      <c r="M7675" s="11"/>
    </row>
    <row r="7676" spans="13:13" x14ac:dyDescent="0.35">
      <c r="M7676" s="11"/>
    </row>
    <row r="7677" spans="13:13" x14ac:dyDescent="0.35">
      <c r="M7677" s="11"/>
    </row>
    <row r="7678" spans="13:13" x14ac:dyDescent="0.35">
      <c r="M7678" s="11"/>
    </row>
    <row r="7679" spans="13:13" x14ac:dyDescent="0.35">
      <c r="M7679" s="11"/>
    </row>
    <row r="7680" spans="13:13" x14ac:dyDescent="0.35">
      <c r="M7680" s="11"/>
    </row>
    <row r="7681" spans="13:13" x14ac:dyDescent="0.35">
      <c r="M7681" s="11"/>
    </row>
    <row r="7682" spans="13:13" x14ac:dyDescent="0.35">
      <c r="M7682" s="11"/>
    </row>
    <row r="7683" spans="13:13" x14ac:dyDescent="0.35">
      <c r="M7683" s="11"/>
    </row>
    <row r="7684" spans="13:13" x14ac:dyDescent="0.35">
      <c r="M7684" s="11"/>
    </row>
    <row r="7685" spans="13:13" x14ac:dyDescent="0.35">
      <c r="M7685" s="11"/>
    </row>
    <row r="7686" spans="13:13" x14ac:dyDescent="0.35">
      <c r="M7686" s="11"/>
    </row>
    <row r="7687" spans="13:13" x14ac:dyDescent="0.35">
      <c r="M7687" s="11"/>
    </row>
    <row r="7688" spans="13:13" x14ac:dyDescent="0.35">
      <c r="M7688" s="11"/>
    </row>
    <row r="7689" spans="13:13" x14ac:dyDescent="0.35">
      <c r="M7689" s="11"/>
    </row>
    <row r="7690" spans="13:13" x14ac:dyDescent="0.35">
      <c r="M7690" s="11"/>
    </row>
    <row r="7691" spans="13:13" x14ac:dyDescent="0.35">
      <c r="M7691" s="11"/>
    </row>
    <row r="7692" spans="13:13" x14ac:dyDescent="0.35">
      <c r="M7692" s="11"/>
    </row>
    <row r="7693" spans="13:13" x14ac:dyDescent="0.35">
      <c r="M7693" s="11"/>
    </row>
    <row r="7694" spans="13:13" x14ac:dyDescent="0.35">
      <c r="M7694" s="11"/>
    </row>
    <row r="7695" spans="13:13" x14ac:dyDescent="0.35">
      <c r="M7695" s="11"/>
    </row>
    <row r="7696" spans="13:13" x14ac:dyDescent="0.35">
      <c r="M7696" s="11"/>
    </row>
    <row r="7697" spans="13:13" x14ac:dyDescent="0.35">
      <c r="M7697" s="11"/>
    </row>
    <row r="7698" spans="13:13" x14ac:dyDescent="0.35">
      <c r="M7698" s="11"/>
    </row>
    <row r="7699" spans="13:13" x14ac:dyDescent="0.35">
      <c r="M7699" s="11"/>
    </row>
    <row r="7700" spans="13:13" x14ac:dyDescent="0.35">
      <c r="M7700" s="11"/>
    </row>
    <row r="7701" spans="13:13" x14ac:dyDescent="0.35">
      <c r="M7701" s="11"/>
    </row>
    <row r="7702" spans="13:13" x14ac:dyDescent="0.35">
      <c r="M7702" s="11"/>
    </row>
    <row r="7703" spans="13:13" x14ac:dyDescent="0.35">
      <c r="M7703" s="11"/>
    </row>
    <row r="7704" spans="13:13" x14ac:dyDescent="0.35">
      <c r="M7704" s="11"/>
    </row>
    <row r="7705" spans="13:13" x14ac:dyDescent="0.35">
      <c r="M7705" s="11"/>
    </row>
    <row r="7706" spans="13:13" x14ac:dyDescent="0.35">
      <c r="M7706" s="11"/>
    </row>
    <row r="7707" spans="13:13" x14ac:dyDescent="0.35">
      <c r="M7707" s="11"/>
    </row>
    <row r="7708" spans="13:13" x14ac:dyDescent="0.35">
      <c r="M7708" s="11"/>
    </row>
    <row r="7709" spans="13:13" x14ac:dyDescent="0.35">
      <c r="M7709" s="11"/>
    </row>
    <row r="7710" spans="13:13" x14ac:dyDescent="0.35">
      <c r="M7710" s="11"/>
    </row>
    <row r="7711" spans="13:13" x14ac:dyDescent="0.35">
      <c r="M7711" s="11"/>
    </row>
    <row r="7712" spans="13:13" x14ac:dyDescent="0.35">
      <c r="M7712" s="11"/>
    </row>
    <row r="7713" spans="13:13" x14ac:dyDescent="0.35">
      <c r="M7713" s="11"/>
    </row>
    <row r="7714" spans="13:13" x14ac:dyDescent="0.35">
      <c r="M7714" s="11"/>
    </row>
    <row r="7715" spans="13:13" x14ac:dyDescent="0.35">
      <c r="M7715" s="11"/>
    </row>
    <row r="7716" spans="13:13" x14ac:dyDescent="0.35">
      <c r="M7716" s="11"/>
    </row>
    <row r="7717" spans="13:13" x14ac:dyDescent="0.35">
      <c r="M7717" s="11"/>
    </row>
    <row r="7718" spans="13:13" x14ac:dyDescent="0.35">
      <c r="M7718" s="11"/>
    </row>
    <row r="7719" spans="13:13" x14ac:dyDescent="0.35">
      <c r="M7719" s="11"/>
    </row>
    <row r="7720" spans="13:13" x14ac:dyDescent="0.35">
      <c r="M7720" s="11"/>
    </row>
    <row r="7721" spans="13:13" x14ac:dyDescent="0.35">
      <c r="M7721" s="11"/>
    </row>
    <row r="7722" spans="13:13" x14ac:dyDescent="0.35">
      <c r="M7722" s="11"/>
    </row>
    <row r="7723" spans="13:13" x14ac:dyDescent="0.35">
      <c r="M7723" s="11"/>
    </row>
    <row r="7724" spans="13:13" x14ac:dyDescent="0.35">
      <c r="M7724" s="11"/>
    </row>
    <row r="7725" spans="13:13" x14ac:dyDescent="0.35">
      <c r="M7725" s="11"/>
    </row>
    <row r="7726" spans="13:13" x14ac:dyDescent="0.35">
      <c r="M7726" s="11"/>
    </row>
    <row r="7727" spans="13:13" x14ac:dyDescent="0.35">
      <c r="M7727" s="11"/>
    </row>
    <row r="7728" spans="13:13" x14ac:dyDescent="0.35">
      <c r="M7728" s="11"/>
    </row>
    <row r="7729" spans="13:13" x14ac:dyDescent="0.35">
      <c r="M7729" s="11"/>
    </row>
    <row r="7730" spans="13:13" x14ac:dyDescent="0.35">
      <c r="M7730" s="11"/>
    </row>
    <row r="7731" spans="13:13" x14ac:dyDescent="0.35">
      <c r="M7731" s="11"/>
    </row>
    <row r="7732" spans="13:13" x14ac:dyDescent="0.35">
      <c r="M7732" s="11"/>
    </row>
    <row r="7733" spans="13:13" x14ac:dyDescent="0.35">
      <c r="M7733" s="11"/>
    </row>
    <row r="7734" spans="13:13" x14ac:dyDescent="0.35">
      <c r="M7734" s="11"/>
    </row>
    <row r="7735" spans="13:13" x14ac:dyDescent="0.35">
      <c r="M7735" s="11"/>
    </row>
    <row r="7736" spans="13:13" x14ac:dyDescent="0.35">
      <c r="M7736" s="11"/>
    </row>
    <row r="7737" spans="13:13" x14ac:dyDescent="0.35">
      <c r="M7737" s="11"/>
    </row>
    <row r="7738" spans="13:13" x14ac:dyDescent="0.35">
      <c r="M7738" s="11"/>
    </row>
    <row r="7739" spans="13:13" x14ac:dyDescent="0.35">
      <c r="M7739" s="11"/>
    </row>
    <row r="7740" spans="13:13" x14ac:dyDescent="0.35">
      <c r="M7740" s="11"/>
    </row>
    <row r="7741" spans="13:13" x14ac:dyDescent="0.35">
      <c r="M7741" s="11"/>
    </row>
    <row r="7742" spans="13:13" x14ac:dyDescent="0.35">
      <c r="M7742" s="11"/>
    </row>
    <row r="7743" spans="13:13" x14ac:dyDescent="0.35">
      <c r="M7743" s="11"/>
    </row>
    <row r="7744" spans="13:13" x14ac:dyDescent="0.35">
      <c r="M7744" s="11"/>
    </row>
    <row r="7745" spans="13:13" x14ac:dyDescent="0.35">
      <c r="M7745" s="11"/>
    </row>
    <row r="7746" spans="13:13" x14ac:dyDescent="0.35">
      <c r="M7746" s="11"/>
    </row>
    <row r="7747" spans="13:13" x14ac:dyDescent="0.35">
      <c r="M7747" s="11"/>
    </row>
    <row r="7748" spans="13:13" x14ac:dyDescent="0.35">
      <c r="M7748" s="11"/>
    </row>
    <row r="7749" spans="13:13" x14ac:dyDescent="0.35">
      <c r="M7749" s="11"/>
    </row>
    <row r="7750" spans="13:13" x14ac:dyDescent="0.35">
      <c r="M7750" s="11"/>
    </row>
    <row r="7751" spans="13:13" x14ac:dyDescent="0.35">
      <c r="M7751" s="11"/>
    </row>
    <row r="7752" spans="13:13" x14ac:dyDescent="0.35">
      <c r="M7752" s="11"/>
    </row>
    <row r="7753" spans="13:13" x14ac:dyDescent="0.35">
      <c r="M7753" s="11"/>
    </row>
    <row r="7754" spans="13:13" x14ac:dyDescent="0.35">
      <c r="M7754" s="11"/>
    </row>
    <row r="7755" spans="13:13" x14ac:dyDescent="0.35">
      <c r="M7755" s="11"/>
    </row>
    <row r="7756" spans="13:13" x14ac:dyDescent="0.35">
      <c r="M7756" s="11"/>
    </row>
    <row r="7757" spans="13:13" x14ac:dyDescent="0.35">
      <c r="M7757" s="11"/>
    </row>
    <row r="7758" spans="13:13" x14ac:dyDescent="0.35">
      <c r="M7758" s="11"/>
    </row>
    <row r="7759" spans="13:13" x14ac:dyDescent="0.35">
      <c r="M7759" s="11"/>
    </row>
    <row r="7760" spans="13:13" x14ac:dyDescent="0.35">
      <c r="M7760" s="11"/>
    </row>
    <row r="7761" spans="13:13" x14ac:dyDescent="0.35">
      <c r="M7761" s="11"/>
    </row>
    <row r="7762" spans="13:13" x14ac:dyDescent="0.35">
      <c r="M7762" s="11"/>
    </row>
    <row r="7763" spans="13:13" x14ac:dyDescent="0.35">
      <c r="M7763" s="11"/>
    </row>
    <row r="7764" spans="13:13" x14ac:dyDescent="0.35">
      <c r="M7764" s="11"/>
    </row>
    <row r="7765" spans="13:13" x14ac:dyDescent="0.35">
      <c r="M7765" s="11"/>
    </row>
    <row r="7766" spans="13:13" x14ac:dyDescent="0.35">
      <c r="M7766" s="11"/>
    </row>
    <row r="7767" spans="13:13" x14ac:dyDescent="0.35">
      <c r="M7767" s="11"/>
    </row>
    <row r="7768" spans="13:13" x14ac:dyDescent="0.35">
      <c r="M7768" s="11"/>
    </row>
    <row r="7769" spans="13:13" x14ac:dyDescent="0.35">
      <c r="M7769" s="11"/>
    </row>
    <row r="7770" spans="13:13" x14ac:dyDescent="0.35">
      <c r="M7770" s="11"/>
    </row>
    <row r="7771" spans="13:13" x14ac:dyDescent="0.35">
      <c r="M7771" s="11"/>
    </row>
    <row r="7772" spans="13:13" x14ac:dyDescent="0.35">
      <c r="M7772" s="11"/>
    </row>
    <row r="7773" spans="13:13" x14ac:dyDescent="0.35">
      <c r="M7773" s="11"/>
    </row>
    <row r="7774" spans="13:13" x14ac:dyDescent="0.35">
      <c r="M7774" s="11"/>
    </row>
    <row r="7775" spans="13:13" x14ac:dyDescent="0.35">
      <c r="M7775" s="11"/>
    </row>
    <row r="7776" spans="13:13" x14ac:dyDescent="0.35">
      <c r="M7776" s="11"/>
    </row>
    <row r="7777" spans="13:13" x14ac:dyDescent="0.35">
      <c r="M7777" s="11"/>
    </row>
    <row r="7778" spans="13:13" x14ac:dyDescent="0.35">
      <c r="M7778" s="11"/>
    </row>
    <row r="7779" spans="13:13" x14ac:dyDescent="0.35">
      <c r="M7779" s="11"/>
    </row>
    <row r="7780" spans="13:13" x14ac:dyDescent="0.35">
      <c r="M7780" s="11"/>
    </row>
    <row r="7781" spans="13:13" x14ac:dyDescent="0.35">
      <c r="M7781" s="11"/>
    </row>
    <row r="7782" spans="13:13" x14ac:dyDescent="0.35">
      <c r="M7782" s="11"/>
    </row>
    <row r="7783" spans="13:13" x14ac:dyDescent="0.35">
      <c r="M7783" s="11"/>
    </row>
    <row r="7784" spans="13:13" x14ac:dyDescent="0.35">
      <c r="M7784" s="11"/>
    </row>
    <row r="7785" spans="13:13" x14ac:dyDescent="0.35">
      <c r="M7785" s="11"/>
    </row>
    <row r="7786" spans="13:13" x14ac:dyDescent="0.35">
      <c r="M7786" s="11"/>
    </row>
    <row r="7787" spans="13:13" x14ac:dyDescent="0.35">
      <c r="M7787" s="11"/>
    </row>
    <row r="7788" spans="13:13" x14ac:dyDescent="0.35">
      <c r="M7788" s="11"/>
    </row>
    <row r="7789" spans="13:13" x14ac:dyDescent="0.35">
      <c r="M7789" s="11"/>
    </row>
    <row r="7790" spans="13:13" x14ac:dyDescent="0.35">
      <c r="M7790" s="11"/>
    </row>
    <row r="7791" spans="13:13" x14ac:dyDescent="0.35">
      <c r="M7791" s="11"/>
    </row>
    <row r="7792" spans="13:13" x14ac:dyDescent="0.35">
      <c r="M7792" s="11"/>
    </row>
    <row r="7793" spans="13:13" x14ac:dyDescent="0.35">
      <c r="M7793" s="11"/>
    </row>
    <row r="7794" spans="13:13" x14ac:dyDescent="0.35">
      <c r="M7794" s="11"/>
    </row>
    <row r="7795" spans="13:13" x14ac:dyDescent="0.35">
      <c r="M7795" s="11"/>
    </row>
    <row r="7796" spans="13:13" x14ac:dyDescent="0.35">
      <c r="M7796" s="11"/>
    </row>
    <row r="7797" spans="13:13" x14ac:dyDescent="0.35">
      <c r="M7797" s="11"/>
    </row>
    <row r="7798" spans="13:13" x14ac:dyDescent="0.35">
      <c r="M7798" s="11"/>
    </row>
    <row r="7799" spans="13:13" x14ac:dyDescent="0.35">
      <c r="M7799" s="11"/>
    </row>
    <row r="7800" spans="13:13" x14ac:dyDescent="0.35">
      <c r="M7800" s="11"/>
    </row>
    <row r="7801" spans="13:13" x14ac:dyDescent="0.35">
      <c r="M7801" s="11"/>
    </row>
    <row r="7802" spans="13:13" x14ac:dyDescent="0.35">
      <c r="M7802" s="11"/>
    </row>
    <row r="7803" spans="13:13" x14ac:dyDescent="0.35">
      <c r="M7803" s="11"/>
    </row>
    <row r="7804" spans="13:13" x14ac:dyDescent="0.35">
      <c r="M7804" s="11"/>
    </row>
    <row r="7805" spans="13:13" x14ac:dyDescent="0.35">
      <c r="M7805" s="11"/>
    </row>
    <row r="7806" spans="13:13" x14ac:dyDescent="0.35">
      <c r="M7806" s="11"/>
    </row>
    <row r="7807" spans="13:13" x14ac:dyDescent="0.35">
      <c r="M7807" s="11"/>
    </row>
    <row r="7808" spans="13:13" x14ac:dyDescent="0.35">
      <c r="M7808" s="11"/>
    </row>
    <row r="7809" spans="13:13" x14ac:dyDescent="0.35">
      <c r="M7809" s="11"/>
    </row>
    <row r="7810" spans="13:13" x14ac:dyDescent="0.35">
      <c r="M7810" s="11"/>
    </row>
    <row r="7811" spans="13:13" x14ac:dyDescent="0.35">
      <c r="M7811" s="11"/>
    </row>
    <row r="7812" spans="13:13" x14ac:dyDescent="0.35">
      <c r="M7812" s="11"/>
    </row>
    <row r="7813" spans="13:13" x14ac:dyDescent="0.35">
      <c r="M7813" s="11"/>
    </row>
    <row r="7814" spans="13:13" x14ac:dyDescent="0.35">
      <c r="M7814" s="11"/>
    </row>
    <row r="7815" spans="13:13" x14ac:dyDescent="0.35">
      <c r="M7815" s="11"/>
    </row>
    <row r="7816" spans="13:13" x14ac:dyDescent="0.35">
      <c r="M7816" s="11"/>
    </row>
    <row r="7817" spans="13:13" x14ac:dyDescent="0.35">
      <c r="M7817" s="11"/>
    </row>
    <row r="7818" spans="13:13" x14ac:dyDescent="0.35">
      <c r="M7818" s="11"/>
    </row>
    <row r="7819" spans="13:13" x14ac:dyDescent="0.35">
      <c r="M7819" s="11"/>
    </row>
    <row r="7820" spans="13:13" x14ac:dyDescent="0.35">
      <c r="M7820" s="11"/>
    </row>
    <row r="7821" spans="13:13" x14ac:dyDescent="0.35">
      <c r="M7821" s="11"/>
    </row>
    <row r="7822" spans="13:13" x14ac:dyDescent="0.35">
      <c r="M7822" s="11"/>
    </row>
    <row r="7823" spans="13:13" x14ac:dyDescent="0.35">
      <c r="M7823" s="11"/>
    </row>
    <row r="7824" spans="13:13" x14ac:dyDescent="0.35">
      <c r="M7824" s="11"/>
    </row>
    <row r="7825" spans="13:13" x14ac:dyDescent="0.35">
      <c r="M7825" s="11"/>
    </row>
    <row r="7826" spans="13:13" x14ac:dyDescent="0.35">
      <c r="M7826" s="11"/>
    </row>
    <row r="7827" spans="13:13" x14ac:dyDescent="0.35">
      <c r="M7827" s="11"/>
    </row>
    <row r="7828" spans="13:13" x14ac:dyDescent="0.35">
      <c r="M7828" s="11"/>
    </row>
    <row r="7829" spans="13:13" x14ac:dyDescent="0.35">
      <c r="M7829" s="11"/>
    </row>
    <row r="7830" spans="13:13" x14ac:dyDescent="0.35">
      <c r="M7830" s="11"/>
    </row>
    <row r="7831" spans="13:13" x14ac:dyDescent="0.35">
      <c r="M7831" s="11"/>
    </row>
    <row r="7832" spans="13:13" x14ac:dyDescent="0.35">
      <c r="M7832" s="11"/>
    </row>
    <row r="7833" spans="13:13" x14ac:dyDescent="0.35">
      <c r="M7833" s="11"/>
    </row>
    <row r="7834" spans="13:13" x14ac:dyDescent="0.35">
      <c r="M7834" s="11"/>
    </row>
    <row r="7835" spans="13:13" x14ac:dyDescent="0.35">
      <c r="M7835" s="11"/>
    </row>
    <row r="7836" spans="13:13" x14ac:dyDescent="0.35">
      <c r="M7836" s="11"/>
    </row>
    <row r="7837" spans="13:13" x14ac:dyDescent="0.35">
      <c r="M7837" s="11"/>
    </row>
    <row r="7838" spans="13:13" x14ac:dyDescent="0.35">
      <c r="M7838" s="11"/>
    </row>
    <row r="7839" spans="13:13" x14ac:dyDescent="0.35">
      <c r="M7839" s="11"/>
    </row>
    <row r="7840" spans="13:13" x14ac:dyDescent="0.35">
      <c r="M7840" s="11"/>
    </row>
    <row r="7841" spans="13:13" x14ac:dyDescent="0.35">
      <c r="M7841" s="11"/>
    </row>
    <row r="7842" spans="13:13" x14ac:dyDescent="0.35">
      <c r="M7842" s="11"/>
    </row>
    <row r="7843" spans="13:13" x14ac:dyDescent="0.35">
      <c r="M7843" s="11"/>
    </row>
    <row r="7844" spans="13:13" x14ac:dyDescent="0.35">
      <c r="M7844" s="11"/>
    </row>
    <row r="7845" spans="13:13" x14ac:dyDescent="0.35">
      <c r="M7845" s="11"/>
    </row>
    <row r="7846" spans="13:13" x14ac:dyDescent="0.35">
      <c r="M7846" s="11"/>
    </row>
    <row r="7847" spans="13:13" x14ac:dyDescent="0.35">
      <c r="M7847" s="11"/>
    </row>
    <row r="7848" spans="13:13" x14ac:dyDescent="0.35">
      <c r="M7848" s="11"/>
    </row>
    <row r="7849" spans="13:13" x14ac:dyDescent="0.35">
      <c r="M7849" s="11"/>
    </row>
    <row r="7850" spans="13:13" x14ac:dyDescent="0.35">
      <c r="M7850" s="11"/>
    </row>
    <row r="7851" spans="13:13" x14ac:dyDescent="0.35">
      <c r="M7851" s="11"/>
    </row>
    <row r="7852" spans="13:13" x14ac:dyDescent="0.35">
      <c r="M7852" s="11"/>
    </row>
    <row r="7853" spans="13:13" x14ac:dyDescent="0.35">
      <c r="M7853" s="11"/>
    </row>
    <row r="7854" spans="13:13" x14ac:dyDescent="0.35">
      <c r="M7854" s="11"/>
    </row>
    <row r="7855" spans="13:13" x14ac:dyDescent="0.35">
      <c r="M7855" s="11"/>
    </row>
    <row r="7856" spans="13:13" x14ac:dyDescent="0.35">
      <c r="M7856" s="11"/>
    </row>
    <row r="7857" spans="13:13" x14ac:dyDescent="0.35">
      <c r="M7857" s="11"/>
    </row>
    <row r="7858" spans="13:13" x14ac:dyDescent="0.35">
      <c r="M7858" s="11"/>
    </row>
    <row r="7859" spans="13:13" x14ac:dyDescent="0.35">
      <c r="M7859" s="11"/>
    </row>
    <row r="7860" spans="13:13" x14ac:dyDescent="0.35">
      <c r="M7860" s="11"/>
    </row>
    <row r="7861" spans="13:13" x14ac:dyDescent="0.35">
      <c r="M7861" s="11"/>
    </row>
    <row r="7862" spans="13:13" x14ac:dyDescent="0.35">
      <c r="M7862" s="11"/>
    </row>
    <row r="7863" spans="13:13" x14ac:dyDescent="0.35">
      <c r="M7863" s="11"/>
    </row>
    <row r="7864" spans="13:13" x14ac:dyDescent="0.35">
      <c r="M7864" s="11"/>
    </row>
    <row r="7865" spans="13:13" x14ac:dyDescent="0.35">
      <c r="M7865" s="11"/>
    </row>
    <row r="7866" spans="13:13" x14ac:dyDescent="0.35">
      <c r="M7866" s="11"/>
    </row>
    <row r="7867" spans="13:13" x14ac:dyDescent="0.35">
      <c r="M7867" s="11"/>
    </row>
    <row r="7868" spans="13:13" x14ac:dyDescent="0.35">
      <c r="M7868" s="11"/>
    </row>
    <row r="7869" spans="13:13" x14ac:dyDescent="0.35">
      <c r="M7869" s="11"/>
    </row>
    <row r="7870" spans="13:13" x14ac:dyDescent="0.35">
      <c r="M7870" s="11"/>
    </row>
    <row r="7871" spans="13:13" x14ac:dyDescent="0.35">
      <c r="M7871" s="11"/>
    </row>
    <row r="7872" spans="13:13" x14ac:dyDescent="0.35">
      <c r="M7872" s="11"/>
    </row>
    <row r="7873" spans="13:13" x14ac:dyDescent="0.35">
      <c r="M7873" s="11"/>
    </row>
    <row r="7874" spans="13:13" x14ac:dyDescent="0.35">
      <c r="M7874" s="11"/>
    </row>
    <row r="7875" spans="13:13" x14ac:dyDescent="0.35">
      <c r="M7875" s="11"/>
    </row>
    <row r="7876" spans="13:13" x14ac:dyDescent="0.35">
      <c r="M7876" s="11"/>
    </row>
    <row r="7877" spans="13:13" x14ac:dyDescent="0.35">
      <c r="M7877" s="11"/>
    </row>
    <row r="7878" spans="13:13" x14ac:dyDescent="0.35">
      <c r="M7878" s="11"/>
    </row>
    <row r="7879" spans="13:13" x14ac:dyDescent="0.35">
      <c r="M7879" s="11"/>
    </row>
    <row r="7880" spans="13:13" x14ac:dyDescent="0.35">
      <c r="M7880" s="11"/>
    </row>
    <row r="7881" spans="13:13" x14ac:dyDescent="0.35">
      <c r="M7881" s="11"/>
    </row>
    <row r="7882" spans="13:13" x14ac:dyDescent="0.35">
      <c r="M7882" s="11"/>
    </row>
    <row r="7883" spans="13:13" x14ac:dyDescent="0.35">
      <c r="M7883" s="11"/>
    </row>
    <row r="7884" spans="13:13" x14ac:dyDescent="0.35">
      <c r="M7884" s="11"/>
    </row>
    <row r="7885" spans="13:13" x14ac:dyDescent="0.35">
      <c r="M7885" s="11"/>
    </row>
    <row r="7886" spans="13:13" x14ac:dyDescent="0.35">
      <c r="M7886" s="11"/>
    </row>
    <row r="7887" spans="13:13" x14ac:dyDescent="0.35">
      <c r="M7887" s="11"/>
    </row>
    <row r="7888" spans="13:13" x14ac:dyDescent="0.35">
      <c r="M7888" s="11"/>
    </row>
    <row r="7889" spans="13:13" x14ac:dyDescent="0.35">
      <c r="M7889" s="11"/>
    </row>
    <row r="7890" spans="13:13" x14ac:dyDescent="0.35">
      <c r="M7890" s="11"/>
    </row>
    <row r="7891" spans="13:13" x14ac:dyDescent="0.35">
      <c r="M7891" s="11"/>
    </row>
    <row r="7892" spans="13:13" x14ac:dyDescent="0.35">
      <c r="M7892" s="11"/>
    </row>
    <row r="7893" spans="13:13" x14ac:dyDescent="0.35">
      <c r="M7893" s="11"/>
    </row>
    <row r="7894" spans="13:13" x14ac:dyDescent="0.35">
      <c r="M7894" s="11"/>
    </row>
    <row r="7895" spans="13:13" x14ac:dyDescent="0.35">
      <c r="M7895" s="11"/>
    </row>
    <row r="7896" spans="13:13" x14ac:dyDescent="0.35">
      <c r="M7896" s="11"/>
    </row>
    <row r="7897" spans="13:13" x14ac:dyDescent="0.35">
      <c r="M7897" s="11"/>
    </row>
    <row r="7898" spans="13:13" x14ac:dyDescent="0.35">
      <c r="M7898" s="11"/>
    </row>
    <row r="7899" spans="13:13" x14ac:dyDescent="0.35">
      <c r="M7899" s="11"/>
    </row>
    <row r="7900" spans="13:13" x14ac:dyDescent="0.35">
      <c r="M7900" s="11"/>
    </row>
    <row r="7901" spans="13:13" x14ac:dyDescent="0.35">
      <c r="M7901" s="11"/>
    </row>
    <row r="7902" spans="13:13" x14ac:dyDescent="0.35">
      <c r="M7902" s="11"/>
    </row>
    <row r="7903" spans="13:13" x14ac:dyDescent="0.35">
      <c r="M7903" s="11"/>
    </row>
    <row r="7904" spans="13:13" x14ac:dyDescent="0.35">
      <c r="M7904" s="11"/>
    </row>
    <row r="7905" spans="13:13" x14ac:dyDescent="0.35">
      <c r="M7905" s="11"/>
    </row>
    <row r="7906" spans="13:13" x14ac:dyDescent="0.35">
      <c r="M7906" s="11"/>
    </row>
    <row r="7907" spans="13:13" x14ac:dyDescent="0.35">
      <c r="M7907" s="11"/>
    </row>
    <row r="7908" spans="13:13" x14ac:dyDescent="0.35">
      <c r="M7908" s="11"/>
    </row>
    <row r="7909" spans="13:13" x14ac:dyDescent="0.35">
      <c r="M7909" s="11"/>
    </row>
    <row r="7910" spans="13:13" x14ac:dyDescent="0.35">
      <c r="M7910" s="11"/>
    </row>
    <row r="7911" spans="13:13" x14ac:dyDescent="0.35">
      <c r="M7911" s="11"/>
    </row>
    <row r="7912" spans="13:13" x14ac:dyDescent="0.35">
      <c r="M7912" s="11"/>
    </row>
    <row r="7913" spans="13:13" x14ac:dyDescent="0.35">
      <c r="M7913" s="11"/>
    </row>
    <row r="7914" spans="13:13" x14ac:dyDescent="0.35">
      <c r="M7914" s="11"/>
    </row>
    <row r="7915" spans="13:13" x14ac:dyDescent="0.35">
      <c r="M7915" s="11"/>
    </row>
    <row r="7916" spans="13:13" x14ac:dyDescent="0.35">
      <c r="M7916" s="11"/>
    </row>
    <row r="7917" spans="13:13" x14ac:dyDescent="0.35">
      <c r="M7917" s="11"/>
    </row>
    <row r="7918" spans="13:13" x14ac:dyDescent="0.35">
      <c r="M7918" s="11"/>
    </row>
    <row r="7919" spans="13:13" x14ac:dyDescent="0.35">
      <c r="M7919" s="11"/>
    </row>
    <row r="7920" spans="13:13" x14ac:dyDescent="0.35">
      <c r="M7920" s="11"/>
    </row>
    <row r="7921" spans="13:13" x14ac:dyDescent="0.35">
      <c r="M7921" s="11"/>
    </row>
    <row r="7922" spans="13:13" x14ac:dyDescent="0.35">
      <c r="M7922" s="11"/>
    </row>
    <row r="7923" spans="13:13" x14ac:dyDescent="0.35">
      <c r="M7923" s="11"/>
    </row>
    <row r="7924" spans="13:13" x14ac:dyDescent="0.35">
      <c r="M7924" s="11"/>
    </row>
    <row r="7925" spans="13:13" x14ac:dyDescent="0.35">
      <c r="M7925" s="11"/>
    </row>
    <row r="7926" spans="13:13" x14ac:dyDescent="0.35">
      <c r="M7926" s="11"/>
    </row>
    <row r="7927" spans="13:13" x14ac:dyDescent="0.35">
      <c r="M7927" s="11"/>
    </row>
    <row r="7928" spans="13:13" x14ac:dyDescent="0.35">
      <c r="M7928" s="11"/>
    </row>
    <row r="7929" spans="13:13" x14ac:dyDescent="0.35">
      <c r="M7929" s="11"/>
    </row>
    <row r="7930" spans="13:13" x14ac:dyDescent="0.35">
      <c r="M7930" s="11"/>
    </row>
    <row r="7931" spans="13:13" x14ac:dyDescent="0.35">
      <c r="M7931" s="11"/>
    </row>
    <row r="7932" spans="13:13" x14ac:dyDescent="0.35">
      <c r="M7932" s="11"/>
    </row>
    <row r="7933" spans="13:13" x14ac:dyDescent="0.35">
      <c r="M7933" s="11"/>
    </row>
    <row r="7934" spans="13:13" x14ac:dyDescent="0.35">
      <c r="M7934" s="11"/>
    </row>
    <row r="7935" spans="13:13" x14ac:dyDescent="0.35">
      <c r="M7935" s="11"/>
    </row>
    <row r="7936" spans="13:13" x14ac:dyDescent="0.35">
      <c r="M7936" s="11"/>
    </row>
    <row r="7937" spans="13:13" x14ac:dyDescent="0.35">
      <c r="M7937" s="11"/>
    </row>
    <row r="7938" spans="13:13" x14ac:dyDescent="0.35">
      <c r="M7938" s="11"/>
    </row>
    <row r="7939" spans="13:13" x14ac:dyDescent="0.35">
      <c r="M7939" s="11"/>
    </row>
    <row r="7940" spans="13:13" x14ac:dyDescent="0.35">
      <c r="M7940" s="11"/>
    </row>
    <row r="7941" spans="13:13" x14ac:dyDescent="0.35">
      <c r="M7941" s="11"/>
    </row>
    <row r="7942" spans="13:13" x14ac:dyDescent="0.35">
      <c r="M7942" s="11"/>
    </row>
    <row r="7943" spans="13:13" x14ac:dyDescent="0.35">
      <c r="M7943" s="11"/>
    </row>
    <row r="7944" spans="13:13" x14ac:dyDescent="0.35">
      <c r="M7944" s="11"/>
    </row>
    <row r="7945" spans="13:13" x14ac:dyDescent="0.35">
      <c r="M7945" s="11"/>
    </row>
    <row r="7946" spans="13:13" x14ac:dyDescent="0.35">
      <c r="M7946" s="11"/>
    </row>
    <row r="7947" spans="13:13" x14ac:dyDescent="0.35">
      <c r="M7947" s="11"/>
    </row>
    <row r="7948" spans="13:13" x14ac:dyDescent="0.35">
      <c r="M7948" s="11"/>
    </row>
    <row r="7949" spans="13:13" x14ac:dyDescent="0.35">
      <c r="M7949" s="11"/>
    </row>
    <row r="7950" spans="13:13" x14ac:dyDescent="0.35">
      <c r="M7950" s="11"/>
    </row>
    <row r="7951" spans="13:13" x14ac:dyDescent="0.35">
      <c r="M7951" s="11"/>
    </row>
    <row r="7952" spans="13:13" x14ac:dyDescent="0.35">
      <c r="M7952" s="11"/>
    </row>
    <row r="7953" spans="13:13" x14ac:dyDescent="0.35">
      <c r="M7953" s="11"/>
    </row>
    <row r="7954" spans="13:13" x14ac:dyDescent="0.35">
      <c r="M7954" s="11"/>
    </row>
    <row r="7955" spans="13:13" x14ac:dyDescent="0.35">
      <c r="M7955" s="11"/>
    </row>
    <row r="7956" spans="13:13" x14ac:dyDescent="0.35">
      <c r="M7956" s="11"/>
    </row>
    <row r="7957" spans="13:13" x14ac:dyDescent="0.35">
      <c r="M7957" s="11"/>
    </row>
    <row r="7958" spans="13:13" x14ac:dyDescent="0.35">
      <c r="M7958" s="11"/>
    </row>
    <row r="7959" spans="13:13" x14ac:dyDescent="0.35">
      <c r="M7959" s="11"/>
    </row>
    <row r="7960" spans="13:13" x14ac:dyDescent="0.35">
      <c r="M7960" s="11"/>
    </row>
    <row r="7961" spans="13:13" x14ac:dyDescent="0.35">
      <c r="M7961" s="11"/>
    </row>
    <row r="7962" spans="13:13" x14ac:dyDescent="0.35">
      <c r="M7962" s="11"/>
    </row>
    <row r="7963" spans="13:13" x14ac:dyDescent="0.35">
      <c r="M7963" s="11"/>
    </row>
    <row r="7964" spans="13:13" x14ac:dyDescent="0.35">
      <c r="M7964" s="11"/>
    </row>
    <row r="7965" spans="13:13" x14ac:dyDescent="0.35">
      <c r="M7965" s="11"/>
    </row>
    <row r="7966" spans="13:13" x14ac:dyDescent="0.35">
      <c r="M7966" s="11"/>
    </row>
    <row r="7967" spans="13:13" x14ac:dyDescent="0.35">
      <c r="M7967" s="11"/>
    </row>
    <row r="7968" spans="13:13" x14ac:dyDescent="0.35">
      <c r="M7968" s="11"/>
    </row>
    <row r="7969" spans="13:13" x14ac:dyDescent="0.35">
      <c r="M7969" s="11"/>
    </row>
    <row r="7970" spans="13:13" x14ac:dyDescent="0.35">
      <c r="M7970" s="11"/>
    </row>
    <row r="7971" spans="13:13" x14ac:dyDescent="0.35">
      <c r="M7971" s="11"/>
    </row>
    <row r="7972" spans="13:13" x14ac:dyDescent="0.35">
      <c r="M7972" s="11"/>
    </row>
    <row r="7973" spans="13:13" x14ac:dyDescent="0.35">
      <c r="M7973" s="11"/>
    </row>
    <row r="7974" spans="13:13" x14ac:dyDescent="0.35">
      <c r="M7974" s="11"/>
    </row>
    <row r="7975" spans="13:13" x14ac:dyDescent="0.35">
      <c r="M7975" s="11"/>
    </row>
    <row r="7976" spans="13:13" x14ac:dyDescent="0.35">
      <c r="M7976" s="11"/>
    </row>
    <row r="7977" spans="13:13" x14ac:dyDescent="0.35">
      <c r="M7977" s="11"/>
    </row>
    <row r="7978" spans="13:13" x14ac:dyDescent="0.35">
      <c r="M7978" s="11"/>
    </row>
    <row r="7979" spans="13:13" x14ac:dyDescent="0.35">
      <c r="M7979" s="11"/>
    </row>
    <row r="7980" spans="13:13" x14ac:dyDescent="0.35">
      <c r="M7980" s="11"/>
    </row>
    <row r="7981" spans="13:13" x14ac:dyDescent="0.35">
      <c r="M7981" s="11"/>
    </row>
    <row r="7982" spans="13:13" x14ac:dyDescent="0.35">
      <c r="M7982" s="11"/>
    </row>
    <row r="7983" spans="13:13" x14ac:dyDescent="0.35">
      <c r="M7983" s="11"/>
    </row>
    <row r="7984" spans="13:13" x14ac:dyDescent="0.35">
      <c r="M7984" s="11"/>
    </row>
    <row r="7985" spans="13:13" x14ac:dyDescent="0.35">
      <c r="M7985" s="11"/>
    </row>
    <row r="7986" spans="13:13" x14ac:dyDescent="0.35">
      <c r="M7986" s="11"/>
    </row>
    <row r="7987" spans="13:13" x14ac:dyDescent="0.35">
      <c r="M7987" s="11"/>
    </row>
    <row r="7988" spans="13:13" x14ac:dyDescent="0.35">
      <c r="M7988" s="11"/>
    </row>
    <row r="7989" spans="13:13" x14ac:dyDescent="0.35">
      <c r="M7989" s="11"/>
    </row>
    <row r="7990" spans="13:13" x14ac:dyDescent="0.35">
      <c r="M7990" s="11"/>
    </row>
    <row r="7991" spans="13:13" x14ac:dyDescent="0.35">
      <c r="M7991" s="11"/>
    </row>
    <row r="7992" spans="13:13" x14ac:dyDescent="0.35">
      <c r="M7992" s="11"/>
    </row>
    <row r="7993" spans="13:13" x14ac:dyDescent="0.35">
      <c r="M7993" s="11"/>
    </row>
    <row r="7994" spans="13:13" x14ac:dyDescent="0.35">
      <c r="M7994" s="11"/>
    </row>
    <row r="7995" spans="13:13" x14ac:dyDescent="0.35">
      <c r="M7995" s="11"/>
    </row>
    <row r="7996" spans="13:13" x14ac:dyDescent="0.35">
      <c r="M7996" s="11"/>
    </row>
    <row r="7997" spans="13:13" x14ac:dyDescent="0.35">
      <c r="M7997" s="11"/>
    </row>
    <row r="7998" spans="13:13" x14ac:dyDescent="0.35">
      <c r="M7998" s="11"/>
    </row>
    <row r="7999" spans="13:13" x14ac:dyDescent="0.35">
      <c r="M7999" s="11"/>
    </row>
    <row r="8000" spans="13:13" x14ac:dyDescent="0.35">
      <c r="M8000" s="11"/>
    </row>
    <row r="8001" spans="13:13" x14ac:dyDescent="0.35">
      <c r="M8001" s="11"/>
    </row>
    <row r="8002" spans="13:13" x14ac:dyDescent="0.35">
      <c r="M8002" s="11"/>
    </row>
    <row r="8003" spans="13:13" x14ac:dyDescent="0.35">
      <c r="M8003" s="11"/>
    </row>
    <row r="8004" spans="13:13" x14ac:dyDescent="0.35">
      <c r="M8004" s="11"/>
    </row>
    <row r="8005" spans="13:13" x14ac:dyDescent="0.35">
      <c r="M8005" s="11"/>
    </row>
    <row r="8006" spans="13:13" x14ac:dyDescent="0.35">
      <c r="M8006" s="11"/>
    </row>
    <row r="8007" spans="13:13" x14ac:dyDescent="0.35">
      <c r="M8007" s="11"/>
    </row>
    <row r="8008" spans="13:13" x14ac:dyDescent="0.35">
      <c r="M8008" s="11"/>
    </row>
    <row r="8009" spans="13:13" x14ac:dyDescent="0.35">
      <c r="M8009" s="11"/>
    </row>
    <row r="8010" spans="13:13" x14ac:dyDescent="0.35">
      <c r="M8010" s="11"/>
    </row>
    <row r="8011" spans="13:13" x14ac:dyDescent="0.35">
      <c r="M8011" s="11"/>
    </row>
    <row r="8012" spans="13:13" x14ac:dyDescent="0.35">
      <c r="M8012" s="11"/>
    </row>
    <row r="8013" spans="13:13" x14ac:dyDescent="0.35">
      <c r="M8013" s="11"/>
    </row>
    <row r="8014" spans="13:13" x14ac:dyDescent="0.35">
      <c r="M8014" s="11"/>
    </row>
    <row r="8015" spans="13:13" x14ac:dyDescent="0.35">
      <c r="M8015" s="11"/>
    </row>
    <row r="8016" spans="13:13" x14ac:dyDescent="0.35">
      <c r="M8016" s="11"/>
    </row>
    <row r="8017" spans="13:13" x14ac:dyDescent="0.35">
      <c r="M8017" s="11"/>
    </row>
    <row r="8018" spans="13:13" x14ac:dyDescent="0.35">
      <c r="M8018" s="11"/>
    </row>
    <row r="8019" spans="13:13" x14ac:dyDescent="0.35">
      <c r="M8019" s="11"/>
    </row>
    <row r="8020" spans="13:13" x14ac:dyDescent="0.35">
      <c r="M8020" s="11"/>
    </row>
    <row r="8021" spans="13:13" x14ac:dyDescent="0.35">
      <c r="M8021" s="11"/>
    </row>
    <row r="8022" spans="13:13" x14ac:dyDescent="0.35">
      <c r="M8022" s="11"/>
    </row>
    <row r="8023" spans="13:13" x14ac:dyDescent="0.35">
      <c r="M8023" s="11"/>
    </row>
    <row r="8024" spans="13:13" x14ac:dyDescent="0.35">
      <c r="M8024" s="11"/>
    </row>
    <row r="8025" spans="13:13" x14ac:dyDescent="0.35">
      <c r="M8025" s="11"/>
    </row>
    <row r="8026" spans="13:13" x14ac:dyDescent="0.35">
      <c r="M8026" s="11"/>
    </row>
    <row r="8027" spans="13:13" x14ac:dyDescent="0.35">
      <c r="M8027" s="11"/>
    </row>
    <row r="8028" spans="13:13" x14ac:dyDescent="0.35">
      <c r="M8028" s="11"/>
    </row>
    <row r="8029" spans="13:13" x14ac:dyDescent="0.35">
      <c r="M8029" s="11"/>
    </row>
    <row r="8030" spans="13:13" x14ac:dyDescent="0.35">
      <c r="M8030" s="11"/>
    </row>
    <row r="8031" spans="13:13" x14ac:dyDescent="0.35">
      <c r="M8031" s="11"/>
    </row>
    <row r="8032" spans="13:13" x14ac:dyDescent="0.35">
      <c r="M8032" s="11"/>
    </row>
    <row r="8033" spans="13:13" x14ac:dyDescent="0.35">
      <c r="M8033" s="11"/>
    </row>
    <row r="8034" spans="13:13" x14ac:dyDescent="0.35">
      <c r="M8034" s="11"/>
    </row>
    <row r="8035" spans="13:13" x14ac:dyDescent="0.35">
      <c r="M8035" s="11"/>
    </row>
    <row r="8036" spans="13:13" x14ac:dyDescent="0.35">
      <c r="M8036" s="11"/>
    </row>
    <row r="8037" spans="13:13" x14ac:dyDescent="0.35">
      <c r="M8037" s="11"/>
    </row>
    <row r="8038" spans="13:13" x14ac:dyDescent="0.35">
      <c r="M8038" s="11"/>
    </row>
    <row r="8039" spans="13:13" x14ac:dyDescent="0.35">
      <c r="M8039" s="11"/>
    </row>
    <row r="8040" spans="13:13" x14ac:dyDescent="0.35">
      <c r="M8040" s="11"/>
    </row>
    <row r="8041" spans="13:13" x14ac:dyDescent="0.35">
      <c r="M8041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2025-06-21T13:19:12Z</dcterms:created>
  <dcterms:modified xsi:type="dcterms:W3CDTF">2026-06-22T16:47:21Z</dcterms:modified>
</cp:coreProperties>
</file>